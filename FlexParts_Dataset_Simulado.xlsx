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yenda" sheetId="1" state="visible" r:id="rId3"/>
    <sheet name="Da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<sst xmlns="http://schemas.openxmlformats.org/spreadsheetml/2006/main" count="983" uniqueCount="47">
  <si>
    <t xml:space="preserve">FlexParts Manufacturing MX — Dataset Simulado de Costos y Presupuesto</t>
  </si>
  <si>
    <t xml:space="preserve">Propósito</t>
  </si>
  <si>
    <t xml:space="preserve">Dataset 100% simulado para el prototipo FinIA-Flex (Caso Práctico Unidad 1, materia Generative IA, Maestría en Ciencia de Datos y Analítica Visual, IEP). No representa datos reales de ninguna empresa.</t>
  </si>
  <si>
    <t xml:space="preserve">Estructura</t>
  </si>
  <si>
    <t xml:space="preserve">Hoja 'Datos': 240 filas = 12 meses × 4 centros de costo × 5 categorías de gasto.</t>
  </si>
  <si>
    <t xml:space="preserve">Columna 'Variación (%)' y 'Variación (MXN)' se calculan con fórmula, no están hardcodeadas.</t>
  </si>
  <si>
    <t xml:space="preserve">Columna 'Alerta Política' marca automáticamente variaciones que excederían el umbral de la</t>
  </si>
  <si>
    <t xml:space="preserve">política de gasto (ver documento de políticas RAG): gasto de Mantenimiento &gt;$50,000 MXN</t>
  </si>
  <si>
    <t xml:space="preserve">sobre presupuesto requiere aprobación gerencial.</t>
  </si>
  <si>
    <t xml:space="preserve">Escenarios intencionales incluidos (para probar el copiloto)</t>
  </si>
  <si>
    <t xml:space="preserve">1) Sobrecosto sostenido: Línea de Producción 2 / Mantenimiento, meses de Julio a Septiembre (+18% a +27%).</t>
  </si>
  <si>
    <t xml:space="preserve">2) Ahorro consistente: Línea de Producción 1 / Materia Prima, todo el año (-3% a -9%).</t>
  </si>
  <si>
    <t xml:space="preserve">3) Violación de política puntual: Centro Mantenimiento / categoría Mantenimiento, Julio (+42%, dispara alerta).</t>
  </si>
  <si>
    <t xml:space="preserve">Mes</t>
  </si>
  <si>
    <t xml:space="preserve">Mes #</t>
  </si>
  <si>
    <t xml:space="preserve">Centro de Costo</t>
  </si>
  <si>
    <t xml:space="preserve">Categoría de Gasto</t>
  </si>
  <si>
    <t xml:space="preserve">Presupuesto (MXN)</t>
  </si>
  <si>
    <t xml:space="preserve">Real (MXN)</t>
  </si>
  <si>
    <t xml:space="preserve">Variación (MXN)</t>
  </si>
  <si>
    <t xml:space="preserve">Variación (%)</t>
  </si>
  <si>
    <t xml:space="preserve">Alerta Política</t>
  </si>
  <si>
    <t xml:space="preserve">Responsable</t>
  </si>
  <si>
    <t xml:space="preserve">Enero</t>
  </si>
  <si>
    <t xml:space="preserve">Línea de Producción 1</t>
  </si>
  <si>
    <t xml:space="preserve">Materia Prima</t>
  </si>
  <si>
    <t xml:space="preserve">Gerente de Línea 1 - R. Hernández</t>
  </si>
  <si>
    <t xml:space="preserve">Mano de Obra Directa</t>
  </si>
  <si>
    <t xml:space="preserve">Energía</t>
  </si>
  <si>
    <t xml:space="preserve">Mantenimiento</t>
  </si>
  <si>
    <t xml:space="preserve">Logística/Fletes</t>
  </si>
  <si>
    <t xml:space="preserve">Línea de Producción 2</t>
  </si>
  <si>
    <t xml:space="preserve">Gerente de Línea 2 - M. Torres</t>
  </si>
  <si>
    <t xml:space="preserve">Coordinador de Mantenimiento - J. Salinas</t>
  </si>
  <si>
    <t xml:space="preserve">Logística</t>
  </si>
  <si>
    <t xml:space="preserve">Coordinador de Logística - A. Ramírez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</si>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</sst>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$#,##0;&quot;($&quot;#,##0\);\-"/>
    <numFmt numFmtId="167" formatCode="0.0%;\(0.0%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39.75" hidden="false" customHeight="true" outlineLevel="0" collapsed="false">
      <c r="A4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0" t="s">
        <v>4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7</v>
      </c>
    </row>
    <row r="11" customFormat="false" ht="15" hidden="false" customHeight="false" outlineLevel="0" collapsed="false">
      <c r="A11" s="0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0" t="s">
        <v>10</v>
      </c>
    </row>
    <row r="15" customFormat="false" ht="15" hidden="false" customHeight="false" outlineLevel="0" collapsed="false">
      <c r="A15" s="0" t="s">
        <v>11</v>
      </c>
    </row>
    <row r="16" customFormat="false" ht="15" hidden="false" customHeight="false" outlineLevel="0" collapsed="false">
      <c r="A16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</row>
    <row r="2" customFormat="false" ht="15" hidden="false" customHeight="false" outlineLevel="0" collapsed="false">
      <c r="A2" s="5" t="s">
        <v>23</v>
      </c>
      <c r="B2" s="5" t="n">
        <v>1</v>
      </c>
      <c r="C2" s="5" t="s">
        <v>24</v>
      </c>
      <c r="D2" s="5" t="s">
        <v>25</v>
      </c>
      <c r="E2" s="6" t="n">
        <v>620000</v>
      </c>
      <c r="F2" s="6" t="n">
        <v>565100</v>
      </c>
      <c r="G2" s="7" t="n">
        <f aca="false">F2-E2</f>
        <v>-54900</v>
      </c>
      <c r="H2" s="8" t="n">
        <f aca="false">IFERROR(G2/E2,0)</f>
        <v>-0.0885483870967742</v>
      </c>
      <c r="I2" s="5" t="str">
        <f aca="false">IF(AND(D2="Mantenimiento",G2&gt;50000),"REVISAR - Excede política","OK")</f>
        <v>OK</v>
      </c>
      <c r="J2" s="5" t="s">
        <v>26</v>
      </c>
    </row>
    <row r="3" customFormat="false" ht="15" hidden="false" customHeight="false" outlineLevel="0" collapsed="false">
      <c r="A3" s="5" t="s">
        <v>23</v>
      </c>
      <c r="B3" s="5" t="n">
        <v>1</v>
      </c>
      <c r="C3" s="5" t="s">
        <v>24</v>
      </c>
      <c r="D3" s="5" t="s">
        <v>27</v>
      </c>
      <c r="E3" s="6" t="n">
        <v>310000</v>
      </c>
      <c r="F3" s="6" t="n">
        <v>301600</v>
      </c>
      <c r="G3" s="7" t="n">
        <f aca="false">F3-E3</f>
        <v>-8400</v>
      </c>
      <c r="H3" s="8" t="n">
        <f aca="false">IFERROR(G3/E3,0)</f>
        <v>-0.0270967741935484</v>
      </c>
      <c r="I3" s="5" t="str">
        <f aca="false">IF(AND(D3="Mantenimiento",G3&gt;50000),"REVISAR - Excede política","OK")</f>
        <v>OK</v>
      </c>
      <c r="J3" s="5" t="s">
        <v>26</v>
      </c>
    </row>
    <row r="4" customFormat="false" ht="15" hidden="false" customHeight="false" outlineLevel="0" collapsed="false">
      <c r="A4" s="5" t="s">
        <v>23</v>
      </c>
      <c r="B4" s="5" t="n">
        <v>1</v>
      </c>
      <c r="C4" s="5" t="s">
        <v>24</v>
      </c>
      <c r="D4" s="5" t="s">
        <v>28</v>
      </c>
      <c r="E4" s="6" t="n">
        <v>95000</v>
      </c>
      <c r="F4" s="6" t="n">
        <v>91800</v>
      </c>
      <c r="G4" s="7" t="n">
        <f aca="false">F4-E4</f>
        <v>-3200</v>
      </c>
      <c r="H4" s="8" t="n">
        <f aca="false">IFERROR(G4/E4,0)</f>
        <v>-0.0336842105263158</v>
      </c>
      <c r="I4" s="5" t="str">
        <f aca="false">IF(AND(D4="Mantenimiento",G4&gt;50000),"REVISAR - Excede política","OK")</f>
        <v>OK</v>
      </c>
      <c r="J4" s="5" t="s">
        <v>26</v>
      </c>
    </row>
    <row r="5" customFormat="false" ht="15" hidden="false" customHeight="false" outlineLevel="0" collapsed="false">
      <c r="A5" s="5" t="s">
        <v>23</v>
      </c>
      <c r="B5" s="5" t="n">
        <v>1</v>
      </c>
      <c r="C5" s="5" t="s">
        <v>24</v>
      </c>
      <c r="D5" s="5" t="s">
        <v>29</v>
      </c>
      <c r="E5" s="6" t="n">
        <v>60000</v>
      </c>
      <c r="F5" s="6" t="n">
        <v>61700</v>
      </c>
      <c r="G5" s="7" t="n">
        <f aca="false">F5-E5</f>
        <v>1700</v>
      </c>
      <c r="H5" s="8" t="n">
        <f aca="false">IFERROR(G5/E5,0)</f>
        <v>0.0283333333333333</v>
      </c>
      <c r="I5" s="5" t="str">
        <f aca="false">IF(AND(D5="Mantenimiento",G5&gt;50000),"REVISAR - Excede política","OK")</f>
        <v>OK</v>
      </c>
      <c r="J5" s="5" t="s">
        <v>26</v>
      </c>
    </row>
    <row r="6" customFormat="false" ht="15" hidden="false" customHeight="false" outlineLevel="0" collapsed="false">
      <c r="A6" s="5" t="s">
        <v>23</v>
      </c>
      <c r="B6" s="5" t="n">
        <v>1</v>
      </c>
      <c r="C6" s="5" t="s">
        <v>24</v>
      </c>
      <c r="D6" s="5" t="s">
        <v>30</v>
      </c>
      <c r="E6" s="6" t="n">
        <v>45000</v>
      </c>
      <c r="F6" s="6" t="n">
        <v>46000</v>
      </c>
      <c r="G6" s="7" t="n">
        <f aca="false">F6-E6</f>
        <v>1000</v>
      </c>
      <c r="H6" s="8" t="n">
        <f aca="false">IFERROR(G6/E6,0)</f>
        <v>0.0222222222222222</v>
      </c>
      <c r="I6" s="5" t="str">
        <f aca="false">IF(AND(D6="Mantenimiento",G6&gt;50000),"REVISAR - Excede política","OK")</f>
        <v>OK</v>
      </c>
      <c r="J6" s="5" t="s">
        <v>26</v>
      </c>
    </row>
    <row r="7" customFormat="false" ht="15" hidden="false" customHeight="false" outlineLevel="0" collapsed="false">
      <c r="A7" s="5" t="s">
        <v>23</v>
      </c>
      <c r="B7" s="5" t="n">
        <v>1</v>
      </c>
      <c r="C7" s="5" t="s">
        <v>31</v>
      </c>
      <c r="D7" s="5" t="s">
        <v>25</v>
      </c>
      <c r="E7" s="6" t="n">
        <v>540000</v>
      </c>
      <c r="F7" s="6" t="n">
        <v>565400</v>
      </c>
      <c r="G7" s="7" t="n">
        <f aca="false">F7-E7</f>
        <v>25400</v>
      </c>
      <c r="H7" s="8" t="n">
        <f aca="false">IFERROR(G7/E7,0)</f>
        <v>0.047037037037037</v>
      </c>
      <c r="I7" s="5" t="str">
        <f aca="false">IF(AND(D7="Mantenimiento",G7&gt;50000),"REVISAR - Excede política","OK")</f>
        <v>OK</v>
      </c>
      <c r="J7" s="5" t="s">
        <v>32</v>
      </c>
    </row>
    <row r="8" customFormat="false" ht="15" hidden="false" customHeight="false" outlineLevel="0" collapsed="false">
      <c r="A8" s="5" t="s">
        <v>23</v>
      </c>
      <c r="B8" s="5" t="n">
        <v>1</v>
      </c>
      <c r="C8" s="5" t="s">
        <v>31</v>
      </c>
      <c r="D8" s="5" t="s">
        <v>27</v>
      </c>
      <c r="E8" s="6" t="n">
        <v>280000</v>
      </c>
      <c r="F8" s="6" t="n">
        <v>266100</v>
      </c>
      <c r="G8" s="7" t="n">
        <f aca="false">F8-E8</f>
        <v>-13900</v>
      </c>
      <c r="H8" s="8" t="n">
        <f aca="false">IFERROR(G8/E8,0)</f>
        <v>-0.0496428571428571</v>
      </c>
      <c r="I8" s="5" t="str">
        <f aca="false">IF(AND(D8="Mantenimiento",G8&gt;50000),"REVISAR - Excede política","OK")</f>
        <v>OK</v>
      </c>
      <c r="J8" s="5" t="s">
        <v>32</v>
      </c>
    </row>
    <row r="9" customFormat="false" ht="15" hidden="false" customHeight="false" outlineLevel="0" collapsed="false">
      <c r="A9" s="5" t="s">
        <v>23</v>
      </c>
      <c r="B9" s="5" t="n">
        <v>1</v>
      </c>
      <c r="C9" s="5" t="s">
        <v>31</v>
      </c>
      <c r="D9" s="5" t="s">
        <v>28</v>
      </c>
      <c r="E9" s="6" t="n">
        <v>88000</v>
      </c>
      <c r="F9" s="6" t="n">
        <v>87200</v>
      </c>
      <c r="G9" s="7" t="n">
        <f aca="false">F9-E9</f>
        <v>-800</v>
      </c>
      <c r="H9" s="8" t="n">
        <f aca="false">IFERROR(G9/E9,0)</f>
        <v>-0.00909090909090909</v>
      </c>
      <c r="I9" s="5" t="str">
        <f aca="false">IF(AND(D9="Mantenimiento",G9&gt;50000),"REVISAR - Excede política","OK")</f>
        <v>OK</v>
      </c>
      <c r="J9" s="5" t="s">
        <v>32</v>
      </c>
    </row>
    <row r="10" customFormat="false" ht="15" hidden="false" customHeight="false" outlineLevel="0" collapsed="false">
      <c r="A10" s="5" t="s">
        <v>23</v>
      </c>
      <c r="B10" s="5" t="n">
        <v>1</v>
      </c>
      <c r="C10" s="5" t="s">
        <v>31</v>
      </c>
      <c r="D10" s="5" t="s">
        <v>29</v>
      </c>
      <c r="E10" s="6" t="n">
        <v>70000</v>
      </c>
      <c r="F10" s="6" t="n">
        <v>66100</v>
      </c>
      <c r="G10" s="7" t="n">
        <f aca="false">F10-E10</f>
        <v>-3900</v>
      </c>
      <c r="H10" s="8" t="n">
        <f aca="false">IFERROR(G10/E10,0)</f>
        <v>-0.0557142857142857</v>
      </c>
      <c r="I10" s="5" t="str">
        <f aca="false">IF(AND(D10="Mantenimiento",G10&gt;50000),"REVISAR - Excede política","OK")</f>
        <v>OK</v>
      </c>
      <c r="J10" s="5" t="s">
        <v>32</v>
      </c>
    </row>
    <row r="11" customFormat="false" ht="15" hidden="false" customHeight="false" outlineLevel="0" collapsed="false">
      <c r="A11" s="5" t="s">
        <v>23</v>
      </c>
      <c r="B11" s="5" t="n">
        <v>1</v>
      </c>
      <c r="C11" s="5" t="s">
        <v>31</v>
      </c>
      <c r="D11" s="5" t="s">
        <v>30</v>
      </c>
      <c r="E11" s="6" t="n">
        <v>40000</v>
      </c>
      <c r="F11" s="6" t="n">
        <v>38600</v>
      </c>
      <c r="G11" s="7" t="n">
        <f aca="false">F11-E11</f>
        <v>-1400</v>
      </c>
      <c r="H11" s="8" t="n">
        <f aca="false">IFERROR(G11/E11,0)</f>
        <v>-0.035</v>
      </c>
      <c r="I11" s="5" t="str">
        <f aca="false">IF(AND(D11="Mantenimiento",G11&gt;50000),"REVISAR - Excede política","OK")</f>
        <v>OK</v>
      </c>
      <c r="J11" s="5" t="s">
        <v>32</v>
      </c>
    </row>
    <row r="12" customFormat="false" ht="15" hidden="false" customHeight="false" outlineLevel="0" collapsed="false">
      <c r="A12" s="5" t="s">
        <v>23</v>
      </c>
      <c r="B12" s="5" t="n">
        <v>1</v>
      </c>
      <c r="C12" s="5" t="s">
        <v>29</v>
      </c>
      <c r="D12" s="5" t="s">
        <v>25</v>
      </c>
      <c r="E12" s="6" t="n">
        <v>35000</v>
      </c>
      <c r="F12" s="6" t="n">
        <v>35000</v>
      </c>
      <c r="G12" s="7" t="n">
        <f aca="false">F12-E12</f>
        <v>0</v>
      </c>
      <c r="H12" s="8" t="n">
        <f aca="false">IFERROR(G12/E12,0)</f>
        <v>0</v>
      </c>
      <c r="I12" s="5" t="str">
        <f aca="false">IF(AND(D12="Mantenimiento",G12&gt;50000),"REVISAR - Excede política","OK")</f>
        <v>OK</v>
      </c>
      <c r="J12" s="5" t="s">
        <v>33</v>
      </c>
    </row>
    <row r="13" customFormat="false" ht="15" hidden="false" customHeight="false" outlineLevel="0" collapsed="false">
      <c r="A13" s="5" t="s">
        <v>23</v>
      </c>
      <c r="B13" s="5" t="n">
        <v>1</v>
      </c>
      <c r="C13" s="5" t="s">
        <v>29</v>
      </c>
      <c r="D13" s="5" t="s">
        <v>27</v>
      </c>
      <c r="E13" s="6" t="n">
        <v>150000</v>
      </c>
      <c r="F13" s="6" t="n">
        <v>141500</v>
      </c>
      <c r="G13" s="7" t="n">
        <f aca="false">F13-E13</f>
        <v>-8500</v>
      </c>
      <c r="H13" s="8" t="n">
        <f aca="false">IFERROR(G13/E13,0)</f>
        <v>-0.0566666666666667</v>
      </c>
      <c r="I13" s="5" t="str">
        <f aca="false">IF(AND(D13="Mantenimiento",G13&gt;50000),"REVISAR - Excede política","OK")</f>
        <v>OK</v>
      </c>
      <c r="J13" s="5" t="s">
        <v>33</v>
      </c>
    </row>
    <row r="14" customFormat="false" ht="15" hidden="false" customHeight="false" outlineLevel="0" collapsed="false">
      <c r="A14" s="5" t="s">
        <v>23</v>
      </c>
      <c r="B14" s="5" t="n">
        <v>1</v>
      </c>
      <c r="C14" s="5" t="s">
        <v>29</v>
      </c>
      <c r="D14" s="5" t="s">
        <v>28</v>
      </c>
      <c r="E14" s="6" t="n">
        <v>20000</v>
      </c>
      <c r="F14" s="6" t="n">
        <v>19300</v>
      </c>
      <c r="G14" s="7" t="n">
        <f aca="false">F14-E14</f>
        <v>-700</v>
      </c>
      <c r="H14" s="8" t="n">
        <f aca="false">IFERROR(G14/E14,0)</f>
        <v>-0.035</v>
      </c>
      <c r="I14" s="5" t="str">
        <f aca="false">IF(AND(D14="Mantenimiento",G14&gt;50000),"REVISAR - Excede política","OK")</f>
        <v>OK</v>
      </c>
      <c r="J14" s="5" t="s">
        <v>33</v>
      </c>
    </row>
    <row r="15" customFormat="false" ht="15" hidden="false" customHeight="false" outlineLevel="0" collapsed="false">
      <c r="A15" s="5" t="s">
        <v>23</v>
      </c>
      <c r="B15" s="5" t="n">
        <v>1</v>
      </c>
      <c r="C15" s="5" t="s">
        <v>29</v>
      </c>
      <c r="D15" s="5" t="s">
        <v>29</v>
      </c>
      <c r="E15" s="6" t="n">
        <v>85000</v>
      </c>
      <c r="F15" s="6" t="n">
        <v>86500</v>
      </c>
      <c r="G15" s="7" t="n">
        <f aca="false">F15-E15</f>
        <v>1500</v>
      </c>
      <c r="H15" s="8" t="n">
        <f aca="false">IFERROR(G15/E15,0)</f>
        <v>0.0176470588235294</v>
      </c>
      <c r="I15" s="5" t="str">
        <f aca="false">IF(AND(D15="Mantenimiento",G15&gt;50000),"REVISAR - Excede política","OK")</f>
        <v>OK</v>
      </c>
      <c r="J15" s="5" t="s">
        <v>33</v>
      </c>
    </row>
    <row r="16" customFormat="false" ht="15" hidden="false" customHeight="false" outlineLevel="0" collapsed="false">
      <c r="A16" s="5" t="s">
        <v>23</v>
      </c>
      <c r="B16" s="5" t="n">
        <v>1</v>
      </c>
      <c r="C16" s="5" t="s">
        <v>29</v>
      </c>
      <c r="D16" s="5" t="s">
        <v>30</v>
      </c>
      <c r="E16" s="6" t="n">
        <v>15000</v>
      </c>
      <c r="F16" s="6" t="n">
        <v>15100</v>
      </c>
      <c r="G16" s="7" t="n">
        <f aca="false">F16-E16</f>
        <v>100</v>
      </c>
      <c r="H16" s="8" t="n">
        <f aca="false">IFERROR(G16/E16,0)</f>
        <v>0.00666666666666667</v>
      </c>
      <c r="I16" s="5" t="str">
        <f aca="false">IF(AND(D16="Mantenimiento",G16&gt;50000),"REVISAR - Excede política","OK")</f>
        <v>OK</v>
      </c>
      <c r="J16" s="5" t="s">
        <v>33</v>
      </c>
    </row>
    <row r="17" customFormat="false" ht="15" hidden="false" customHeight="false" outlineLevel="0" collapsed="false">
      <c r="A17" s="5" t="s">
        <v>23</v>
      </c>
      <c r="B17" s="5" t="n">
        <v>1</v>
      </c>
      <c r="C17" s="5" t="s">
        <v>34</v>
      </c>
      <c r="D17" s="5" t="s">
        <v>25</v>
      </c>
      <c r="E17" s="6" t="n">
        <v>10000</v>
      </c>
      <c r="F17" s="6" t="n">
        <v>9700</v>
      </c>
      <c r="G17" s="7" t="n">
        <f aca="false">F17-E17</f>
        <v>-300</v>
      </c>
      <c r="H17" s="8" t="n">
        <f aca="false">IFERROR(G17/E17,0)</f>
        <v>-0.03</v>
      </c>
      <c r="I17" s="5" t="str">
        <f aca="false">IF(AND(D17="Mantenimiento",G17&gt;50000),"REVISAR - Excede política","OK")</f>
        <v>OK</v>
      </c>
      <c r="J17" s="5" t="s">
        <v>35</v>
      </c>
    </row>
    <row r="18" customFormat="false" ht="15" hidden="false" customHeight="false" outlineLevel="0" collapsed="false">
      <c r="A18" s="5" t="s">
        <v>23</v>
      </c>
      <c r="B18" s="5" t="n">
        <v>1</v>
      </c>
      <c r="C18" s="5" t="s">
        <v>34</v>
      </c>
      <c r="D18" s="5" t="s">
        <v>27</v>
      </c>
      <c r="E18" s="6" t="n">
        <v>120000</v>
      </c>
      <c r="F18" s="6" t="n">
        <v>121300</v>
      </c>
      <c r="G18" s="7" t="n">
        <f aca="false">F18-E18</f>
        <v>1300</v>
      </c>
      <c r="H18" s="8" t="n">
        <f aca="false">IFERROR(G18/E18,0)</f>
        <v>0.0108333333333333</v>
      </c>
      <c r="I18" s="5" t="str">
        <f aca="false">IF(AND(D18="Mantenimiento",G18&gt;50000),"REVISAR - Excede política","OK")</f>
        <v>OK</v>
      </c>
      <c r="J18" s="5" t="s">
        <v>35</v>
      </c>
    </row>
    <row r="19" customFormat="false" ht="15" hidden="false" customHeight="false" outlineLevel="0" collapsed="false">
      <c r="A19" s="5" t="s">
        <v>23</v>
      </c>
      <c r="B19" s="5" t="n">
        <v>1</v>
      </c>
      <c r="C19" s="5" t="s">
        <v>34</v>
      </c>
      <c r="D19" s="5" t="s">
        <v>28</v>
      </c>
      <c r="E19" s="6" t="n">
        <v>18000</v>
      </c>
      <c r="F19" s="6" t="n">
        <v>18700</v>
      </c>
      <c r="G19" s="7" t="n">
        <f aca="false">F19-E19</f>
        <v>700</v>
      </c>
      <c r="H19" s="8" t="n">
        <f aca="false">IFERROR(G19/E19,0)</f>
        <v>0.0388888888888889</v>
      </c>
      <c r="I19" s="5" t="str">
        <f aca="false">IF(AND(D19="Mantenimiento",G19&gt;50000),"REVISAR - Excede política","OK")</f>
        <v>OK</v>
      </c>
      <c r="J19" s="5" t="s">
        <v>35</v>
      </c>
    </row>
    <row r="20" customFormat="false" ht="15" hidden="false" customHeight="false" outlineLevel="0" collapsed="false">
      <c r="A20" s="5" t="s">
        <v>23</v>
      </c>
      <c r="B20" s="5" t="n">
        <v>1</v>
      </c>
      <c r="C20" s="5" t="s">
        <v>34</v>
      </c>
      <c r="D20" s="5" t="s">
        <v>29</v>
      </c>
      <c r="E20" s="6" t="n">
        <v>25000</v>
      </c>
      <c r="F20" s="6" t="n">
        <v>23500</v>
      </c>
      <c r="G20" s="7" t="n">
        <f aca="false">F20-E20</f>
        <v>-1500</v>
      </c>
      <c r="H20" s="8" t="n">
        <f aca="false">IFERROR(G20/E20,0)</f>
        <v>-0.06</v>
      </c>
      <c r="I20" s="5" t="str">
        <f aca="false">IF(AND(D20="Mantenimiento",G20&gt;50000),"REVISAR - Excede política","OK")</f>
        <v>OK</v>
      </c>
      <c r="J20" s="5" t="s">
        <v>35</v>
      </c>
    </row>
    <row r="21" customFormat="false" ht="15" hidden="false" customHeight="false" outlineLevel="0" collapsed="false">
      <c r="A21" s="5" t="s">
        <v>23</v>
      </c>
      <c r="B21" s="5" t="n">
        <v>1</v>
      </c>
      <c r="C21" s="5" t="s">
        <v>34</v>
      </c>
      <c r="D21" s="5" t="s">
        <v>30</v>
      </c>
      <c r="E21" s="6" t="n">
        <v>210000</v>
      </c>
      <c r="F21" s="6" t="n">
        <v>217700</v>
      </c>
      <c r="G21" s="7" t="n">
        <f aca="false">F21-E21</f>
        <v>7700</v>
      </c>
      <c r="H21" s="8" t="n">
        <f aca="false">IFERROR(G21/E21,0)</f>
        <v>0.0366666666666667</v>
      </c>
      <c r="I21" s="5" t="str">
        <f aca="false">IF(AND(D21="Mantenimiento",G21&gt;50000),"REVISAR - Excede política","OK")</f>
        <v>OK</v>
      </c>
      <c r="J21" s="5" t="s">
        <v>35</v>
      </c>
    </row>
    <row r="22" customFormat="false" ht="15" hidden="false" customHeight="false" outlineLevel="0" collapsed="false">
      <c r="A22" s="5" t="s">
        <v>36</v>
      </c>
      <c r="B22" s="5" t="n">
        <v>2</v>
      </c>
      <c r="C22" s="5" t="s">
        <v>24</v>
      </c>
      <c r="D22" s="5" t="s">
        <v>25</v>
      </c>
      <c r="E22" s="6" t="n">
        <v>620000</v>
      </c>
      <c r="F22" s="6" t="n">
        <v>576900</v>
      </c>
      <c r="G22" s="7" t="n">
        <f aca="false">F22-E22</f>
        <v>-43100</v>
      </c>
      <c r="H22" s="8" t="n">
        <f aca="false">IFERROR(G22/E22,0)</f>
        <v>-0.0695161290322581</v>
      </c>
      <c r="I22" s="5" t="str">
        <f aca="false">IF(AND(D22="Mantenimiento",G22&gt;50000),"REVISAR - Excede política","OK")</f>
        <v>OK</v>
      </c>
      <c r="J22" s="5" t="s">
        <v>26</v>
      </c>
    </row>
    <row r="23" customFormat="false" ht="15" hidden="false" customHeight="false" outlineLevel="0" collapsed="false">
      <c r="A23" s="5" t="s">
        <v>36</v>
      </c>
      <c r="B23" s="5" t="n">
        <v>2</v>
      </c>
      <c r="C23" s="5" t="s">
        <v>24</v>
      </c>
      <c r="D23" s="5" t="s">
        <v>27</v>
      </c>
      <c r="E23" s="6" t="n">
        <v>310000</v>
      </c>
      <c r="F23" s="6" t="n">
        <v>297200</v>
      </c>
      <c r="G23" s="7" t="n">
        <f aca="false">F23-E23</f>
        <v>-12800</v>
      </c>
      <c r="H23" s="8" t="n">
        <f aca="false">IFERROR(G23/E23,0)</f>
        <v>-0.0412903225806452</v>
      </c>
      <c r="I23" s="5" t="str">
        <f aca="false">IF(AND(D23="Mantenimiento",G23&gt;50000),"REVISAR - Excede política","OK")</f>
        <v>OK</v>
      </c>
      <c r="J23" s="5" t="s">
        <v>26</v>
      </c>
    </row>
    <row r="24" customFormat="false" ht="15" hidden="false" customHeight="false" outlineLevel="0" collapsed="false">
      <c r="A24" s="5" t="s">
        <v>36</v>
      </c>
      <c r="B24" s="5" t="n">
        <v>2</v>
      </c>
      <c r="C24" s="5" t="s">
        <v>24</v>
      </c>
      <c r="D24" s="5" t="s">
        <v>28</v>
      </c>
      <c r="E24" s="6" t="n">
        <v>95000</v>
      </c>
      <c r="F24" s="6" t="n">
        <v>100200</v>
      </c>
      <c r="G24" s="7" t="n">
        <f aca="false">F24-E24</f>
        <v>5200</v>
      </c>
      <c r="H24" s="8" t="n">
        <f aca="false">IFERROR(G24/E24,0)</f>
        <v>0.0547368421052632</v>
      </c>
      <c r="I24" s="5" t="str">
        <f aca="false">IF(AND(D24="Mantenimiento",G24&gt;50000),"REVISAR - Excede política","OK")</f>
        <v>OK</v>
      </c>
      <c r="J24" s="5" t="s">
        <v>26</v>
      </c>
    </row>
    <row r="25" customFormat="false" ht="15" hidden="false" customHeight="false" outlineLevel="0" collapsed="false">
      <c r="A25" s="5" t="s">
        <v>36</v>
      </c>
      <c r="B25" s="5" t="n">
        <v>2</v>
      </c>
      <c r="C25" s="5" t="s">
        <v>24</v>
      </c>
      <c r="D25" s="5" t="s">
        <v>29</v>
      </c>
      <c r="E25" s="6" t="n">
        <v>60000</v>
      </c>
      <c r="F25" s="6" t="n">
        <v>58800</v>
      </c>
      <c r="G25" s="7" t="n">
        <f aca="false">F25-E25</f>
        <v>-1200</v>
      </c>
      <c r="H25" s="8" t="n">
        <f aca="false">IFERROR(G25/E25,0)</f>
        <v>-0.02</v>
      </c>
      <c r="I25" s="5" t="str">
        <f aca="false">IF(AND(D25="Mantenimiento",G25&gt;50000),"REVISAR - Excede política","OK")</f>
        <v>OK</v>
      </c>
      <c r="J25" s="5" t="s">
        <v>26</v>
      </c>
    </row>
    <row r="26" customFormat="false" ht="15" hidden="false" customHeight="false" outlineLevel="0" collapsed="false">
      <c r="A26" s="5" t="s">
        <v>36</v>
      </c>
      <c r="B26" s="5" t="n">
        <v>2</v>
      </c>
      <c r="C26" s="5" t="s">
        <v>24</v>
      </c>
      <c r="D26" s="5" t="s">
        <v>30</v>
      </c>
      <c r="E26" s="6" t="n">
        <v>45000</v>
      </c>
      <c r="F26" s="6" t="n">
        <v>42800</v>
      </c>
      <c r="G26" s="7" t="n">
        <f aca="false">F26-E26</f>
        <v>-2200</v>
      </c>
      <c r="H26" s="8" t="n">
        <f aca="false">IFERROR(G26/E26,0)</f>
        <v>-0.0488888888888889</v>
      </c>
      <c r="I26" s="5" t="str">
        <f aca="false">IF(AND(D26="Mantenimiento",G26&gt;50000),"REVISAR - Excede política","OK")</f>
        <v>OK</v>
      </c>
      <c r="J26" s="5" t="s">
        <v>26</v>
      </c>
    </row>
    <row r="27" customFormat="false" ht="15" hidden="false" customHeight="false" outlineLevel="0" collapsed="false">
      <c r="A27" s="5" t="s">
        <v>36</v>
      </c>
      <c r="B27" s="5" t="n">
        <v>2</v>
      </c>
      <c r="C27" s="5" t="s">
        <v>31</v>
      </c>
      <c r="D27" s="5" t="s">
        <v>25</v>
      </c>
      <c r="E27" s="6" t="n">
        <v>540000</v>
      </c>
      <c r="F27" s="6" t="n">
        <v>513900</v>
      </c>
      <c r="G27" s="7" t="n">
        <f aca="false">F27-E27</f>
        <v>-26100</v>
      </c>
      <c r="H27" s="8" t="n">
        <f aca="false">IFERROR(G27/E27,0)</f>
        <v>-0.0483333333333333</v>
      </c>
      <c r="I27" s="5" t="str">
        <f aca="false">IF(AND(D27="Mantenimiento",G27&gt;50000),"REVISAR - Excede política","OK")</f>
        <v>OK</v>
      </c>
      <c r="J27" s="5" t="s">
        <v>32</v>
      </c>
    </row>
    <row r="28" customFormat="false" ht="15" hidden="false" customHeight="false" outlineLevel="0" collapsed="false">
      <c r="A28" s="5" t="s">
        <v>36</v>
      </c>
      <c r="B28" s="5" t="n">
        <v>2</v>
      </c>
      <c r="C28" s="5" t="s">
        <v>31</v>
      </c>
      <c r="D28" s="5" t="s">
        <v>27</v>
      </c>
      <c r="E28" s="6" t="n">
        <v>280000</v>
      </c>
      <c r="F28" s="6" t="n">
        <v>291700</v>
      </c>
      <c r="G28" s="7" t="n">
        <f aca="false">F28-E28</f>
        <v>11700</v>
      </c>
      <c r="H28" s="8" t="n">
        <f aca="false">IFERROR(G28/E28,0)</f>
        <v>0.0417857142857143</v>
      </c>
      <c r="I28" s="5" t="str">
        <f aca="false">IF(AND(D28="Mantenimiento",G28&gt;50000),"REVISAR - Excede política","OK")</f>
        <v>OK</v>
      </c>
      <c r="J28" s="5" t="s">
        <v>32</v>
      </c>
    </row>
    <row r="29" customFormat="false" ht="15" hidden="false" customHeight="false" outlineLevel="0" collapsed="false">
      <c r="A29" s="5" t="s">
        <v>36</v>
      </c>
      <c r="B29" s="5" t="n">
        <v>2</v>
      </c>
      <c r="C29" s="5" t="s">
        <v>31</v>
      </c>
      <c r="D29" s="5" t="s">
        <v>28</v>
      </c>
      <c r="E29" s="6" t="n">
        <v>88000</v>
      </c>
      <c r="F29" s="6" t="n">
        <v>89100</v>
      </c>
      <c r="G29" s="7" t="n">
        <f aca="false">F29-E29</f>
        <v>1100</v>
      </c>
      <c r="H29" s="8" t="n">
        <f aca="false">IFERROR(G29/E29,0)</f>
        <v>0.0125</v>
      </c>
      <c r="I29" s="5" t="str">
        <f aca="false">IF(AND(D29="Mantenimiento",G29&gt;50000),"REVISAR - Excede política","OK")</f>
        <v>OK</v>
      </c>
      <c r="J29" s="5" t="s">
        <v>32</v>
      </c>
    </row>
    <row r="30" customFormat="false" ht="15" hidden="false" customHeight="false" outlineLevel="0" collapsed="false">
      <c r="A30" s="5" t="s">
        <v>36</v>
      </c>
      <c r="B30" s="5" t="n">
        <v>2</v>
      </c>
      <c r="C30" s="5" t="s">
        <v>31</v>
      </c>
      <c r="D30" s="5" t="s">
        <v>29</v>
      </c>
      <c r="E30" s="6" t="n">
        <v>70000</v>
      </c>
      <c r="F30" s="6" t="n">
        <v>72600</v>
      </c>
      <c r="G30" s="7" t="n">
        <f aca="false">F30-E30</f>
        <v>2600</v>
      </c>
      <c r="H30" s="8" t="n">
        <f aca="false">IFERROR(G30/E30,0)</f>
        <v>0.0371428571428571</v>
      </c>
      <c r="I30" s="5" t="str">
        <f aca="false">IF(AND(D30="Mantenimiento",G30&gt;50000),"REVISAR - Excede política","OK")</f>
        <v>OK</v>
      </c>
      <c r="J30" s="5" t="s">
        <v>32</v>
      </c>
    </row>
    <row r="31" customFormat="false" ht="15" hidden="false" customHeight="false" outlineLevel="0" collapsed="false">
      <c r="A31" s="5" t="s">
        <v>36</v>
      </c>
      <c r="B31" s="5" t="n">
        <v>2</v>
      </c>
      <c r="C31" s="5" t="s">
        <v>31</v>
      </c>
      <c r="D31" s="5" t="s">
        <v>30</v>
      </c>
      <c r="E31" s="6" t="n">
        <v>40000</v>
      </c>
      <c r="F31" s="6" t="n">
        <v>41100</v>
      </c>
      <c r="G31" s="7" t="n">
        <f aca="false">F31-E31</f>
        <v>1100</v>
      </c>
      <c r="H31" s="8" t="n">
        <f aca="false">IFERROR(G31/E31,0)</f>
        <v>0.0275</v>
      </c>
      <c r="I31" s="5" t="str">
        <f aca="false">IF(AND(D31="Mantenimiento",G31&gt;50000),"REVISAR - Excede política","OK")</f>
        <v>OK</v>
      </c>
      <c r="J31" s="5" t="s">
        <v>32</v>
      </c>
    </row>
    <row r="32" customFormat="false" ht="15" hidden="false" customHeight="false" outlineLevel="0" collapsed="false">
      <c r="A32" s="5" t="s">
        <v>36</v>
      </c>
      <c r="B32" s="5" t="n">
        <v>2</v>
      </c>
      <c r="C32" s="5" t="s">
        <v>29</v>
      </c>
      <c r="D32" s="5" t="s">
        <v>25</v>
      </c>
      <c r="E32" s="6" t="n">
        <v>35000</v>
      </c>
      <c r="F32" s="6" t="n">
        <v>35200</v>
      </c>
      <c r="G32" s="7" t="n">
        <f aca="false">F32-E32</f>
        <v>200</v>
      </c>
      <c r="H32" s="8" t="n">
        <f aca="false">IFERROR(G32/E32,0)</f>
        <v>0.00571428571428571</v>
      </c>
      <c r="I32" s="5" t="str">
        <f aca="false">IF(AND(D32="Mantenimiento",G32&gt;50000),"REVISAR - Excede política","OK")</f>
        <v>OK</v>
      </c>
      <c r="J32" s="5" t="s">
        <v>33</v>
      </c>
    </row>
    <row r="33" customFormat="false" ht="15" hidden="false" customHeight="false" outlineLevel="0" collapsed="false">
      <c r="A33" s="5" t="s">
        <v>36</v>
      </c>
      <c r="B33" s="5" t="n">
        <v>2</v>
      </c>
      <c r="C33" s="5" t="s">
        <v>29</v>
      </c>
      <c r="D33" s="5" t="s">
        <v>27</v>
      </c>
      <c r="E33" s="6" t="n">
        <v>150000</v>
      </c>
      <c r="F33" s="6" t="n">
        <v>158500</v>
      </c>
      <c r="G33" s="7" t="n">
        <f aca="false">F33-E33</f>
        <v>8500</v>
      </c>
      <c r="H33" s="8" t="n">
        <f aca="false">IFERROR(G33/E33,0)</f>
        <v>0.0566666666666667</v>
      </c>
      <c r="I33" s="5" t="str">
        <f aca="false">IF(AND(D33="Mantenimiento",G33&gt;50000),"REVISAR - Excede política","OK")</f>
        <v>OK</v>
      </c>
      <c r="J33" s="5" t="s">
        <v>33</v>
      </c>
    </row>
    <row r="34" customFormat="false" ht="15" hidden="false" customHeight="false" outlineLevel="0" collapsed="false">
      <c r="A34" s="5" t="s">
        <v>36</v>
      </c>
      <c r="B34" s="5" t="n">
        <v>2</v>
      </c>
      <c r="C34" s="5" t="s">
        <v>29</v>
      </c>
      <c r="D34" s="5" t="s">
        <v>28</v>
      </c>
      <c r="E34" s="6" t="n">
        <v>20000</v>
      </c>
      <c r="F34" s="6" t="n">
        <v>19700</v>
      </c>
      <c r="G34" s="7" t="n">
        <f aca="false">F34-E34</f>
        <v>-300</v>
      </c>
      <c r="H34" s="8" t="n">
        <f aca="false">IFERROR(G34/E34,0)</f>
        <v>-0.015</v>
      </c>
      <c r="I34" s="5" t="str">
        <f aca="false">IF(AND(D34="Mantenimiento",G34&gt;50000),"REVISAR - Excede política","OK")</f>
        <v>OK</v>
      </c>
      <c r="J34" s="5" t="s">
        <v>33</v>
      </c>
    </row>
    <row r="35" customFormat="false" ht="15" hidden="false" customHeight="false" outlineLevel="0" collapsed="false">
      <c r="A35" s="5" t="s">
        <v>36</v>
      </c>
      <c r="B35" s="5" t="n">
        <v>2</v>
      </c>
      <c r="C35" s="5" t="s">
        <v>29</v>
      </c>
      <c r="D35" s="5" t="s">
        <v>29</v>
      </c>
      <c r="E35" s="6" t="n">
        <v>85000</v>
      </c>
      <c r="F35" s="6" t="n">
        <v>85500</v>
      </c>
      <c r="G35" s="7" t="n">
        <f aca="false">F35-E35</f>
        <v>500</v>
      </c>
      <c r="H35" s="8" t="n">
        <f aca="false">IFERROR(G35/E35,0)</f>
        <v>0.00588235294117647</v>
      </c>
      <c r="I35" s="5" t="str">
        <f aca="false">IF(AND(D35="Mantenimiento",G35&gt;50000),"REVISAR - Excede política","OK")</f>
        <v>OK</v>
      </c>
      <c r="J35" s="5" t="s">
        <v>33</v>
      </c>
    </row>
    <row r="36" customFormat="false" ht="15" hidden="false" customHeight="false" outlineLevel="0" collapsed="false">
      <c r="A36" s="5" t="s">
        <v>36</v>
      </c>
      <c r="B36" s="5" t="n">
        <v>2</v>
      </c>
      <c r="C36" s="5" t="s">
        <v>29</v>
      </c>
      <c r="D36" s="5" t="s">
        <v>30</v>
      </c>
      <c r="E36" s="6" t="n">
        <v>15000</v>
      </c>
      <c r="F36" s="6" t="n">
        <v>15600</v>
      </c>
      <c r="G36" s="7" t="n">
        <f aca="false">F36-E36</f>
        <v>600</v>
      </c>
      <c r="H36" s="8" t="n">
        <f aca="false">IFERROR(G36/E36,0)</f>
        <v>0.04</v>
      </c>
      <c r="I36" s="5" t="str">
        <f aca="false">IF(AND(D36="Mantenimiento",G36&gt;50000),"REVISAR - Excede política","OK")</f>
        <v>OK</v>
      </c>
      <c r="J36" s="5" t="s">
        <v>33</v>
      </c>
    </row>
    <row r="37" customFormat="false" ht="15" hidden="false" customHeight="false" outlineLevel="0" collapsed="false">
      <c r="A37" s="5" t="s">
        <v>36</v>
      </c>
      <c r="B37" s="5" t="n">
        <v>2</v>
      </c>
      <c r="C37" s="5" t="s">
        <v>34</v>
      </c>
      <c r="D37" s="5" t="s">
        <v>25</v>
      </c>
      <c r="E37" s="6" t="n">
        <v>10000</v>
      </c>
      <c r="F37" s="6" t="n">
        <v>10100</v>
      </c>
      <c r="G37" s="7" t="n">
        <f aca="false">F37-E37</f>
        <v>100</v>
      </c>
      <c r="H37" s="8" t="n">
        <f aca="false">IFERROR(G37/E37,0)</f>
        <v>0.01</v>
      </c>
      <c r="I37" s="5" t="str">
        <f aca="false">IF(AND(D37="Mantenimiento",G37&gt;50000),"REVISAR - Excede política","OK")</f>
        <v>OK</v>
      </c>
      <c r="J37" s="5" t="s">
        <v>35</v>
      </c>
    </row>
    <row r="38" customFormat="false" ht="15" hidden="false" customHeight="false" outlineLevel="0" collapsed="false">
      <c r="A38" s="5" t="s">
        <v>36</v>
      </c>
      <c r="B38" s="5" t="n">
        <v>2</v>
      </c>
      <c r="C38" s="5" t="s">
        <v>34</v>
      </c>
      <c r="D38" s="5" t="s">
        <v>27</v>
      </c>
      <c r="E38" s="6" t="n">
        <v>120000</v>
      </c>
      <c r="F38" s="6" t="n">
        <v>125200</v>
      </c>
      <c r="G38" s="7" t="n">
        <f aca="false">F38-E38</f>
        <v>5200</v>
      </c>
      <c r="H38" s="8" t="n">
        <f aca="false">IFERROR(G38/E38,0)</f>
        <v>0.0433333333333333</v>
      </c>
      <c r="I38" s="5" t="str">
        <f aca="false">IF(AND(D38="Mantenimiento",G38&gt;50000),"REVISAR - Excede política","OK")</f>
        <v>OK</v>
      </c>
      <c r="J38" s="5" t="s">
        <v>35</v>
      </c>
    </row>
    <row r="39" customFormat="false" ht="15" hidden="false" customHeight="false" outlineLevel="0" collapsed="false">
      <c r="A39" s="5" t="s">
        <v>36</v>
      </c>
      <c r="B39" s="5" t="n">
        <v>2</v>
      </c>
      <c r="C39" s="5" t="s">
        <v>34</v>
      </c>
      <c r="D39" s="5" t="s">
        <v>28</v>
      </c>
      <c r="E39" s="6" t="n">
        <v>18000</v>
      </c>
      <c r="F39" s="6" t="n">
        <v>18200</v>
      </c>
      <c r="G39" s="7" t="n">
        <f aca="false">F39-E39</f>
        <v>200</v>
      </c>
      <c r="H39" s="8" t="n">
        <f aca="false">IFERROR(G39/E39,0)</f>
        <v>0.0111111111111111</v>
      </c>
      <c r="I39" s="5" t="str">
        <f aca="false">IF(AND(D39="Mantenimiento",G39&gt;50000),"REVISAR - Excede política","OK")</f>
        <v>OK</v>
      </c>
      <c r="J39" s="5" t="s">
        <v>35</v>
      </c>
    </row>
    <row r="40" customFormat="false" ht="15" hidden="false" customHeight="false" outlineLevel="0" collapsed="false">
      <c r="A40" s="5" t="s">
        <v>36</v>
      </c>
      <c r="B40" s="5" t="n">
        <v>2</v>
      </c>
      <c r="C40" s="5" t="s">
        <v>34</v>
      </c>
      <c r="D40" s="5" t="s">
        <v>29</v>
      </c>
      <c r="E40" s="6" t="n">
        <v>25000</v>
      </c>
      <c r="F40" s="6" t="n">
        <v>25600</v>
      </c>
      <c r="G40" s="7" t="n">
        <f aca="false">F40-E40</f>
        <v>600</v>
      </c>
      <c r="H40" s="8" t="n">
        <f aca="false">IFERROR(G40/E40,0)</f>
        <v>0.024</v>
      </c>
      <c r="I40" s="5" t="str">
        <f aca="false">IF(AND(D40="Mantenimiento",G40&gt;50000),"REVISAR - Excede política","OK")</f>
        <v>OK</v>
      </c>
      <c r="J40" s="5" t="s">
        <v>35</v>
      </c>
    </row>
    <row r="41" customFormat="false" ht="15" hidden="false" customHeight="false" outlineLevel="0" collapsed="false">
      <c r="A41" s="5" t="s">
        <v>36</v>
      </c>
      <c r="B41" s="5" t="n">
        <v>2</v>
      </c>
      <c r="C41" s="5" t="s">
        <v>34</v>
      </c>
      <c r="D41" s="5" t="s">
        <v>30</v>
      </c>
      <c r="E41" s="6" t="n">
        <v>210000</v>
      </c>
      <c r="F41" s="6" t="n">
        <v>198600</v>
      </c>
      <c r="G41" s="7" t="n">
        <f aca="false">F41-E41</f>
        <v>-11400</v>
      </c>
      <c r="H41" s="8" t="n">
        <f aca="false">IFERROR(G41/E41,0)</f>
        <v>-0.0542857142857143</v>
      </c>
      <c r="I41" s="5" t="str">
        <f aca="false">IF(AND(D41="Mantenimiento",G41&gt;50000),"REVISAR - Excede política","OK")</f>
        <v>OK</v>
      </c>
      <c r="J41" s="5" t="s">
        <v>35</v>
      </c>
    </row>
    <row r="42" customFormat="false" ht="15" hidden="false" customHeight="false" outlineLevel="0" collapsed="false">
      <c r="A42" s="5" t="s">
        <v>37</v>
      </c>
      <c r="B42" s="5" t="n">
        <v>3</v>
      </c>
      <c r="C42" s="5" t="s">
        <v>24</v>
      </c>
      <c r="D42" s="5" t="s">
        <v>25</v>
      </c>
      <c r="E42" s="6" t="n">
        <v>620000</v>
      </c>
      <c r="F42" s="6" t="n">
        <v>575000</v>
      </c>
      <c r="G42" s="7" t="n">
        <f aca="false">F42-E42</f>
        <v>-45000</v>
      </c>
      <c r="H42" s="8" t="n">
        <f aca="false">IFERROR(G42/E42,0)</f>
        <v>-0.0725806451612903</v>
      </c>
      <c r="I42" s="5" t="str">
        <f aca="false">IF(AND(D42="Mantenimiento",G42&gt;50000),"REVISAR - Excede política","OK")</f>
        <v>OK</v>
      </c>
      <c r="J42" s="5" t="s">
        <v>26</v>
      </c>
    </row>
    <row r="43" customFormat="false" ht="15" hidden="false" customHeight="false" outlineLevel="0" collapsed="false">
      <c r="A43" s="5" t="s">
        <v>37</v>
      </c>
      <c r="B43" s="5" t="n">
        <v>3</v>
      </c>
      <c r="C43" s="5" t="s">
        <v>24</v>
      </c>
      <c r="D43" s="5" t="s">
        <v>27</v>
      </c>
      <c r="E43" s="6" t="n">
        <v>310000</v>
      </c>
      <c r="F43" s="6" t="n">
        <v>294400</v>
      </c>
      <c r="G43" s="7" t="n">
        <f aca="false">F43-E43</f>
        <v>-15600</v>
      </c>
      <c r="H43" s="8" t="n">
        <f aca="false">IFERROR(G43/E43,0)</f>
        <v>-0.0503225806451613</v>
      </c>
      <c r="I43" s="5" t="str">
        <f aca="false">IF(AND(D43="Mantenimiento",G43&gt;50000),"REVISAR - Excede política","OK")</f>
        <v>OK</v>
      </c>
      <c r="J43" s="5" t="s">
        <v>26</v>
      </c>
    </row>
    <row r="44" customFormat="false" ht="15" hidden="false" customHeight="false" outlineLevel="0" collapsed="false">
      <c r="A44" s="5" t="s">
        <v>37</v>
      </c>
      <c r="B44" s="5" t="n">
        <v>3</v>
      </c>
      <c r="C44" s="5" t="s">
        <v>24</v>
      </c>
      <c r="D44" s="5" t="s">
        <v>28</v>
      </c>
      <c r="E44" s="6" t="n">
        <v>95000</v>
      </c>
      <c r="F44" s="6" t="n">
        <v>92000</v>
      </c>
      <c r="G44" s="7" t="n">
        <f aca="false">F44-E44</f>
        <v>-3000</v>
      </c>
      <c r="H44" s="8" t="n">
        <f aca="false">IFERROR(G44/E44,0)</f>
        <v>-0.0315789473684211</v>
      </c>
      <c r="I44" s="5" t="str">
        <f aca="false">IF(AND(D44="Mantenimiento",G44&gt;50000),"REVISAR - Excede política","OK")</f>
        <v>OK</v>
      </c>
      <c r="J44" s="5" t="s">
        <v>26</v>
      </c>
    </row>
    <row r="45" customFormat="false" ht="15" hidden="false" customHeight="false" outlineLevel="0" collapsed="false">
      <c r="A45" s="5" t="s">
        <v>37</v>
      </c>
      <c r="B45" s="5" t="n">
        <v>3</v>
      </c>
      <c r="C45" s="5" t="s">
        <v>24</v>
      </c>
      <c r="D45" s="5" t="s">
        <v>29</v>
      </c>
      <c r="E45" s="6" t="n">
        <v>60000</v>
      </c>
      <c r="F45" s="6" t="n">
        <v>57100</v>
      </c>
      <c r="G45" s="7" t="n">
        <f aca="false">F45-E45</f>
        <v>-2900</v>
      </c>
      <c r="H45" s="8" t="n">
        <f aca="false">IFERROR(G45/E45,0)</f>
        <v>-0.0483333333333333</v>
      </c>
      <c r="I45" s="5" t="str">
        <f aca="false">IF(AND(D45="Mantenimiento",G45&gt;50000),"REVISAR - Excede política","OK")</f>
        <v>OK</v>
      </c>
      <c r="J45" s="5" t="s">
        <v>26</v>
      </c>
    </row>
    <row r="46" customFormat="false" ht="15" hidden="false" customHeight="false" outlineLevel="0" collapsed="false">
      <c r="A46" s="5" t="s">
        <v>37</v>
      </c>
      <c r="B46" s="5" t="n">
        <v>3</v>
      </c>
      <c r="C46" s="5" t="s">
        <v>24</v>
      </c>
      <c r="D46" s="5" t="s">
        <v>30</v>
      </c>
      <c r="E46" s="6" t="n">
        <v>45000</v>
      </c>
      <c r="F46" s="6" t="n">
        <v>43800</v>
      </c>
      <c r="G46" s="7" t="n">
        <f aca="false">F46-E46</f>
        <v>-1200</v>
      </c>
      <c r="H46" s="8" t="n">
        <f aca="false">IFERROR(G46/E46,0)</f>
        <v>-0.0266666666666667</v>
      </c>
      <c r="I46" s="5" t="str">
        <f aca="false">IF(AND(D46="Mantenimiento",G46&gt;50000),"REVISAR - Excede política","OK")</f>
        <v>OK</v>
      </c>
      <c r="J46" s="5" t="s">
        <v>26</v>
      </c>
    </row>
    <row r="47" customFormat="false" ht="15" hidden="false" customHeight="false" outlineLevel="0" collapsed="false">
      <c r="A47" s="5" t="s">
        <v>37</v>
      </c>
      <c r="B47" s="5" t="n">
        <v>3</v>
      </c>
      <c r="C47" s="5" t="s">
        <v>31</v>
      </c>
      <c r="D47" s="5" t="s">
        <v>25</v>
      </c>
      <c r="E47" s="6" t="n">
        <v>540000</v>
      </c>
      <c r="F47" s="6" t="n">
        <v>548800</v>
      </c>
      <c r="G47" s="7" t="n">
        <f aca="false">F47-E47</f>
        <v>8800</v>
      </c>
      <c r="H47" s="8" t="n">
        <f aca="false">IFERROR(G47/E47,0)</f>
        <v>0.0162962962962963</v>
      </c>
      <c r="I47" s="5" t="str">
        <f aca="false">IF(AND(D47="Mantenimiento",G47&gt;50000),"REVISAR - Excede política","OK")</f>
        <v>OK</v>
      </c>
      <c r="J47" s="5" t="s">
        <v>32</v>
      </c>
    </row>
    <row r="48" customFormat="false" ht="15" hidden="false" customHeight="false" outlineLevel="0" collapsed="false">
      <c r="A48" s="5" t="s">
        <v>37</v>
      </c>
      <c r="B48" s="5" t="n">
        <v>3</v>
      </c>
      <c r="C48" s="5" t="s">
        <v>31</v>
      </c>
      <c r="D48" s="5" t="s">
        <v>27</v>
      </c>
      <c r="E48" s="6" t="n">
        <v>280000</v>
      </c>
      <c r="F48" s="6" t="n">
        <v>275500</v>
      </c>
      <c r="G48" s="7" t="n">
        <f aca="false">F48-E48</f>
        <v>-4500</v>
      </c>
      <c r="H48" s="8" t="n">
        <f aca="false">IFERROR(G48/E48,0)</f>
        <v>-0.0160714285714286</v>
      </c>
      <c r="I48" s="5" t="str">
        <f aca="false">IF(AND(D48="Mantenimiento",G48&gt;50000),"REVISAR - Excede política","OK")</f>
        <v>OK</v>
      </c>
      <c r="J48" s="5" t="s">
        <v>32</v>
      </c>
    </row>
    <row r="49" customFormat="false" ht="15" hidden="false" customHeight="false" outlineLevel="0" collapsed="false">
      <c r="A49" s="5" t="s">
        <v>37</v>
      </c>
      <c r="B49" s="5" t="n">
        <v>3</v>
      </c>
      <c r="C49" s="5" t="s">
        <v>31</v>
      </c>
      <c r="D49" s="5" t="s">
        <v>28</v>
      </c>
      <c r="E49" s="6" t="n">
        <v>88000</v>
      </c>
      <c r="F49" s="6" t="n">
        <v>86600</v>
      </c>
      <c r="G49" s="7" t="n">
        <f aca="false">F49-E49</f>
        <v>-1400</v>
      </c>
      <c r="H49" s="8" t="n">
        <f aca="false">IFERROR(G49/E49,0)</f>
        <v>-0.0159090909090909</v>
      </c>
      <c r="I49" s="5" t="str">
        <f aca="false">IF(AND(D49="Mantenimiento",G49&gt;50000),"REVISAR - Excede política","OK")</f>
        <v>OK</v>
      </c>
      <c r="J49" s="5" t="s">
        <v>32</v>
      </c>
    </row>
    <row r="50" customFormat="false" ht="15" hidden="false" customHeight="false" outlineLevel="0" collapsed="false">
      <c r="A50" s="5" t="s">
        <v>37</v>
      </c>
      <c r="B50" s="5" t="n">
        <v>3</v>
      </c>
      <c r="C50" s="5" t="s">
        <v>31</v>
      </c>
      <c r="D50" s="5" t="s">
        <v>29</v>
      </c>
      <c r="E50" s="6" t="n">
        <v>70000</v>
      </c>
      <c r="F50" s="6" t="n">
        <v>67600</v>
      </c>
      <c r="G50" s="7" t="n">
        <f aca="false">F50-E50</f>
        <v>-2400</v>
      </c>
      <c r="H50" s="8" t="n">
        <f aca="false">IFERROR(G50/E50,0)</f>
        <v>-0.0342857142857143</v>
      </c>
      <c r="I50" s="5" t="str">
        <f aca="false">IF(AND(D50="Mantenimiento",G50&gt;50000),"REVISAR - Excede política","OK")</f>
        <v>OK</v>
      </c>
      <c r="J50" s="5" t="s">
        <v>32</v>
      </c>
    </row>
    <row r="51" customFormat="false" ht="15" hidden="false" customHeight="false" outlineLevel="0" collapsed="false">
      <c r="A51" s="5" t="s">
        <v>37</v>
      </c>
      <c r="B51" s="5" t="n">
        <v>3</v>
      </c>
      <c r="C51" s="5" t="s">
        <v>31</v>
      </c>
      <c r="D51" s="5" t="s">
        <v>30</v>
      </c>
      <c r="E51" s="6" t="n">
        <v>40000</v>
      </c>
      <c r="F51" s="6" t="n">
        <v>38900</v>
      </c>
      <c r="G51" s="7" t="n">
        <f aca="false">F51-E51</f>
        <v>-1100</v>
      </c>
      <c r="H51" s="8" t="n">
        <f aca="false">IFERROR(G51/E51,0)</f>
        <v>-0.0275</v>
      </c>
      <c r="I51" s="5" t="str">
        <f aca="false">IF(AND(D51="Mantenimiento",G51&gt;50000),"REVISAR - Excede política","OK")</f>
        <v>OK</v>
      </c>
      <c r="J51" s="5" t="s">
        <v>32</v>
      </c>
    </row>
    <row r="52" customFormat="false" ht="15" hidden="false" customHeight="false" outlineLevel="0" collapsed="false">
      <c r="A52" s="5" t="s">
        <v>37</v>
      </c>
      <c r="B52" s="5" t="n">
        <v>3</v>
      </c>
      <c r="C52" s="5" t="s">
        <v>29</v>
      </c>
      <c r="D52" s="5" t="s">
        <v>25</v>
      </c>
      <c r="E52" s="6" t="n">
        <v>35000</v>
      </c>
      <c r="F52" s="6" t="n">
        <v>36800</v>
      </c>
      <c r="G52" s="7" t="n">
        <f aca="false">F52-E52</f>
        <v>1800</v>
      </c>
      <c r="H52" s="8" t="n">
        <f aca="false">IFERROR(G52/E52,0)</f>
        <v>0.0514285714285714</v>
      </c>
      <c r="I52" s="5" t="str">
        <f aca="false">IF(AND(D52="Mantenimiento",G52&gt;50000),"REVISAR - Excede política","OK")</f>
        <v>OK</v>
      </c>
      <c r="J52" s="5" t="s">
        <v>33</v>
      </c>
    </row>
    <row r="53" customFormat="false" ht="15" hidden="false" customHeight="false" outlineLevel="0" collapsed="false">
      <c r="A53" s="5" t="s">
        <v>37</v>
      </c>
      <c r="B53" s="5" t="n">
        <v>3</v>
      </c>
      <c r="C53" s="5" t="s">
        <v>29</v>
      </c>
      <c r="D53" s="5" t="s">
        <v>27</v>
      </c>
      <c r="E53" s="6" t="n">
        <v>150000</v>
      </c>
      <c r="F53" s="6" t="n">
        <v>152700</v>
      </c>
      <c r="G53" s="7" t="n">
        <f aca="false">F53-E53</f>
        <v>2700</v>
      </c>
      <c r="H53" s="8" t="n">
        <f aca="false">IFERROR(G53/E53,0)</f>
        <v>0.018</v>
      </c>
      <c r="I53" s="5" t="str">
        <f aca="false">IF(AND(D53="Mantenimiento",G53&gt;50000),"REVISAR - Excede política","OK")</f>
        <v>OK</v>
      </c>
      <c r="J53" s="5" t="s">
        <v>33</v>
      </c>
    </row>
    <row r="54" customFormat="false" ht="15" hidden="false" customHeight="false" outlineLevel="0" collapsed="false">
      <c r="A54" s="5" t="s">
        <v>37</v>
      </c>
      <c r="B54" s="5" t="n">
        <v>3</v>
      </c>
      <c r="C54" s="5" t="s">
        <v>29</v>
      </c>
      <c r="D54" s="5" t="s">
        <v>28</v>
      </c>
      <c r="E54" s="6" t="n">
        <v>20000</v>
      </c>
      <c r="F54" s="6" t="n">
        <v>20300</v>
      </c>
      <c r="G54" s="7" t="n">
        <f aca="false">F54-E54</f>
        <v>300</v>
      </c>
      <c r="H54" s="8" t="n">
        <f aca="false">IFERROR(G54/E54,0)</f>
        <v>0.015</v>
      </c>
      <c r="I54" s="5" t="str">
        <f aca="false">IF(AND(D54="Mantenimiento",G54&gt;50000),"REVISAR - Excede política","OK")</f>
        <v>OK</v>
      </c>
      <c r="J54" s="5" t="s">
        <v>33</v>
      </c>
    </row>
    <row r="55" customFormat="false" ht="15" hidden="false" customHeight="false" outlineLevel="0" collapsed="false">
      <c r="A55" s="5" t="s">
        <v>37</v>
      </c>
      <c r="B55" s="5" t="n">
        <v>3</v>
      </c>
      <c r="C55" s="5" t="s">
        <v>29</v>
      </c>
      <c r="D55" s="5" t="s">
        <v>29</v>
      </c>
      <c r="E55" s="6" t="n">
        <v>85000</v>
      </c>
      <c r="F55" s="6" t="n">
        <v>81600</v>
      </c>
      <c r="G55" s="7" t="n">
        <f aca="false">F55-E55</f>
        <v>-3400</v>
      </c>
      <c r="H55" s="8" t="n">
        <f aca="false">IFERROR(G55/E55,0)</f>
        <v>-0.04</v>
      </c>
      <c r="I55" s="5" t="str">
        <f aca="false">IF(AND(D55="Mantenimiento",G55&gt;50000),"REVISAR - Excede política","OK")</f>
        <v>OK</v>
      </c>
      <c r="J55" s="5" t="s">
        <v>33</v>
      </c>
    </row>
    <row r="56" customFormat="false" ht="15" hidden="false" customHeight="false" outlineLevel="0" collapsed="false">
      <c r="A56" s="5" t="s">
        <v>37</v>
      </c>
      <c r="B56" s="5" t="n">
        <v>3</v>
      </c>
      <c r="C56" s="5" t="s">
        <v>29</v>
      </c>
      <c r="D56" s="5" t="s">
        <v>30</v>
      </c>
      <c r="E56" s="6" t="n">
        <v>15000</v>
      </c>
      <c r="F56" s="6" t="n">
        <v>15400</v>
      </c>
      <c r="G56" s="7" t="n">
        <f aca="false">F56-E56</f>
        <v>400</v>
      </c>
      <c r="H56" s="8" t="n">
        <f aca="false">IFERROR(G56/E56,0)</f>
        <v>0.0266666666666667</v>
      </c>
      <c r="I56" s="5" t="str">
        <f aca="false">IF(AND(D56="Mantenimiento",G56&gt;50000),"REVISAR - Excede política","OK")</f>
        <v>OK</v>
      </c>
      <c r="J56" s="5" t="s">
        <v>33</v>
      </c>
    </row>
    <row r="57" customFormat="false" ht="15" hidden="false" customHeight="false" outlineLevel="0" collapsed="false">
      <c r="A57" s="5" t="s">
        <v>37</v>
      </c>
      <c r="B57" s="5" t="n">
        <v>3</v>
      </c>
      <c r="C57" s="5" t="s">
        <v>34</v>
      </c>
      <c r="D57" s="5" t="s">
        <v>25</v>
      </c>
      <c r="E57" s="6" t="n">
        <v>10000</v>
      </c>
      <c r="F57" s="6" t="n">
        <v>9600</v>
      </c>
      <c r="G57" s="7" t="n">
        <f aca="false">F57-E57</f>
        <v>-400</v>
      </c>
      <c r="H57" s="8" t="n">
        <f aca="false">IFERROR(G57/E57,0)</f>
        <v>-0.04</v>
      </c>
      <c r="I57" s="5" t="str">
        <f aca="false">IF(AND(D57="Mantenimiento",G57&gt;50000),"REVISAR - Excede política","OK")</f>
        <v>OK</v>
      </c>
      <c r="J57" s="5" t="s">
        <v>35</v>
      </c>
    </row>
    <row r="58" customFormat="false" ht="15" hidden="false" customHeight="false" outlineLevel="0" collapsed="false">
      <c r="A58" s="5" t="s">
        <v>37</v>
      </c>
      <c r="B58" s="5" t="n">
        <v>3</v>
      </c>
      <c r="C58" s="5" t="s">
        <v>34</v>
      </c>
      <c r="D58" s="5" t="s">
        <v>27</v>
      </c>
      <c r="E58" s="6" t="n">
        <v>120000</v>
      </c>
      <c r="F58" s="6" t="n">
        <v>118300</v>
      </c>
      <c r="G58" s="7" t="n">
        <f aca="false">F58-E58</f>
        <v>-1700</v>
      </c>
      <c r="H58" s="8" t="n">
        <f aca="false">IFERROR(G58/E58,0)</f>
        <v>-0.0141666666666667</v>
      </c>
      <c r="I58" s="5" t="str">
        <f aca="false">IF(AND(D58="Mantenimiento",G58&gt;50000),"REVISAR - Excede política","OK")</f>
        <v>OK</v>
      </c>
      <c r="J58" s="5" t="s">
        <v>35</v>
      </c>
    </row>
    <row r="59" customFormat="false" ht="15" hidden="false" customHeight="false" outlineLevel="0" collapsed="false">
      <c r="A59" s="5" t="s">
        <v>37</v>
      </c>
      <c r="B59" s="5" t="n">
        <v>3</v>
      </c>
      <c r="C59" s="5" t="s">
        <v>34</v>
      </c>
      <c r="D59" s="5" t="s">
        <v>28</v>
      </c>
      <c r="E59" s="6" t="n">
        <v>18000</v>
      </c>
      <c r="F59" s="6" t="n">
        <v>19100</v>
      </c>
      <c r="G59" s="7" t="n">
        <f aca="false">F59-E59</f>
        <v>1100</v>
      </c>
      <c r="H59" s="8" t="n">
        <f aca="false">IFERROR(G59/E59,0)</f>
        <v>0.0611111111111111</v>
      </c>
      <c r="I59" s="5" t="str">
        <f aca="false">IF(AND(D59="Mantenimiento",G59&gt;50000),"REVISAR - Excede política","OK")</f>
        <v>OK</v>
      </c>
      <c r="J59" s="5" t="s">
        <v>35</v>
      </c>
    </row>
    <row r="60" customFormat="false" ht="15" hidden="false" customHeight="false" outlineLevel="0" collapsed="false">
      <c r="A60" s="5" t="s">
        <v>37</v>
      </c>
      <c r="B60" s="5" t="n">
        <v>3</v>
      </c>
      <c r="C60" s="5" t="s">
        <v>34</v>
      </c>
      <c r="D60" s="5" t="s">
        <v>29</v>
      </c>
      <c r="E60" s="6" t="n">
        <v>25000</v>
      </c>
      <c r="F60" s="6" t="n">
        <v>25400</v>
      </c>
      <c r="G60" s="7" t="n">
        <f aca="false">F60-E60</f>
        <v>400</v>
      </c>
      <c r="H60" s="8" t="n">
        <f aca="false">IFERROR(G60/E60,0)</f>
        <v>0.016</v>
      </c>
      <c r="I60" s="5" t="str">
        <f aca="false">IF(AND(D60="Mantenimiento",G60&gt;50000),"REVISAR - Excede política","OK")</f>
        <v>OK</v>
      </c>
      <c r="J60" s="5" t="s">
        <v>35</v>
      </c>
    </row>
    <row r="61" customFormat="false" ht="15" hidden="false" customHeight="false" outlineLevel="0" collapsed="false">
      <c r="A61" s="5" t="s">
        <v>37</v>
      </c>
      <c r="B61" s="5" t="n">
        <v>3</v>
      </c>
      <c r="C61" s="5" t="s">
        <v>34</v>
      </c>
      <c r="D61" s="5" t="s">
        <v>30</v>
      </c>
      <c r="E61" s="6" t="n">
        <v>210000</v>
      </c>
      <c r="F61" s="6" t="n">
        <v>211400</v>
      </c>
      <c r="G61" s="7" t="n">
        <f aca="false">F61-E61</f>
        <v>1400</v>
      </c>
      <c r="H61" s="8" t="n">
        <f aca="false">IFERROR(G61/E61,0)</f>
        <v>0.00666666666666667</v>
      </c>
      <c r="I61" s="5" t="str">
        <f aca="false">IF(AND(D61="Mantenimiento",G61&gt;50000),"REVISAR - Excede política","OK")</f>
        <v>OK</v>
      </c>
      <c r="J61" s="5" t="s">
        <v>35</v>
      </c>
    </row>
    <row r="62" customFormat="false" ht="15" hidden="false" customHeight="false" outlineLevel="0" collapsed="false">
      <c r="A62" s="5" t="s">
        <v>38</v>
      </c>
      <c r="B62" s="5" t="n">
        <v>4</v>
      </c>
      <c r="C62" s="5" t="s">
        <v>24</v>
      </c>
      <c r="D62" s="5" t="s">
        <v>25</v>
      </c>
      <c r="E62" s="6" t="n">
        <v>620000</v>
      </c>
      <c r="F62" s="6" t="n">
        <v>595600</v>
      </c>
      <c r="G62" s="7" t="n">
        <f aca="false">F62-E62</f>
        <v>-24400</v>
      </c>
      <c r="H62" s="8" t="n">
        <f aca="false">IFERROR(G62/E62,0)</f>
        <v>-0.0393548387096774</v>
      </c>
      <c r="I62" s="5" t="str">
        <f aca="false">IF(AND(D62="Mantenimiento",G62&gt;50000),"REVISAR - Excede política","OK")</f>
        <v>OK</v>
      </c>
      <c r="J62" s="5" t="s">
        <v>26</v>
      </c>
    </row>
    <row r="63" customFormat="false" ht="15" hidden="false" customHeight="false" outlineLevel="0" collapsed="false">
      <c r="A63" s="5" t="s">
        <v>38</v>
      </c>
      <c r="B63" s="5" t="n">
        <v>4</v>
      </c>
      <c r="C63" s="5" t="s">
        <v>24</v>
      </c>
      <c r="D63" s="5" t="s">
        <v>27</v>
      </c>
      <c r="E63" s="6" t="n">
        <v>310000</v>
      </c>
      <c r="F63" s="6" t="n">
        <v>320300</v>
      </c>
      <c r="G63" s="7" t="n">
        <f aca="false">F63-E63</f>
        <v>10300</v>
      </c>
      <c r="H63" s="8" t="n">
        <f aca="false">IFERROR(G63/E63,0)</f>
        <v>0.0332258064516129</v>
      </c>
      <c r="I63" s="5" t="str">
        <f aca="false">IF(AND(D63="Mantenimiento",G63&gt;50000),"REVISAR - Excede política","OK")</f>
        <v>OK</v>
      </c>
      <c r="J63" s="5" t="s">
        <v>26</v>
      </c>
    </row>
    <row r="64" customFormat="false" ht="15" hidden="false" customHeight="false" outlineLevel="0" collapsed="false">
      <c r="A64" s="5" t="s">
        <v>38</v>
      </c>
      <c r="B64" s="5" t="n">
        <v>4</v>
      </c>
      <c r="C64" s="5" t="s">
        <v>24</v>
      </c>
      <c r="D64" s="5" t="s">
        <v>28</v>
      </c>
      <c r="E64" s="6" t="n">
        <v>95000</v>
      </c>
      <c r="F64" s="6" t="n">
        <v>91900</v>
      </c>
      <c r="G64" s="7" t="n">
        <f aca="false">F64-E64</f>
        <v>-3100</v>
      </c>
      <c r="H64" s="8" t="n">
        <f aca="false">IFERROR(G64/E64,0)</f>
        <v>-0.0326315789473684</v>
      </c>
      <c r="I64" s="5" t="str">
        <f aca="false">IF(AND(D64="Mantenimiento",G64&gt;50000),"REVISAR - Excede política","OK")</f>
        <v>OK</v>
      </c>
      <c r="J64" s="5" t="s">
        <v>26</v>
      </c>
    </row>
    <row r="65" customFormat="false" ht="15" hidden="false" customHeight="false" outlineLevel="0" collapsed="false">
      <c r="A65" s="5" t="s">
        <v>38</v>
      </c>
      <c r="B65" s="5" t="n">
        <v>4</v>
      </c>
      <c r="C65" s="5" t="s">
        <v>24</v>
      </c>
      <c r="D65" s="5" t="s">
        <v>29</v>
      </c>
      <c r="E65" s="6" t="n">
        <v>60000</v>
      </c>
      <c r="F65" s="6" t="n">
        <v>56600</v>
      </c>
      <c r="G65" s="7" t="n">
        <f aca="false">F65-E65</f>
        <v>-3400</v>
      </c>
      <c r="H65" s="8" t="n">
        <f aca="false">IFERROR(G65/E65,0)</f>
        <v>-0.0566666666666667</v>
      </c>
      <c r="I65" s="5" t="str">
        <f aca="false">IF(AND(D65="Mantenimiento",G65&gt;50000),"REVISAR - Excede política","OK")</f>
        <v>OK</v>
      </c>
      <c r="J65" s="5" t="s">
        <v>26</v>
      </c>
    </row>
    <row r="66" customFormat="false" ht="15" hidden="false" customHeight="false" outlineLevel="0" collapsed="false">
      <c r="A66" s="5" t="s">
        <v>38</v>
      </c>
      <c r="B66" s="5" t="n">
        <v>4</v>
      </c>
      <c r="C66" s="5" t="s">
        <v>24</v>
      </c>
      <c r="D66" s="5" t="s">
        <v>30</v>
      </c>
      <c r="E66" s="6" t="n">
        <v>45000</v>
      </c>
      <c r="F66" s="6" t="n">
        <v>44000</v>
      </c>
      <c r="G66" s="7" t="n">
        <f aca="false">F66-E66</f>
        <v>-1000</v>
      </c>
      <c r="H66" s="8" t="n">
        <f aca="false">IFERROR(G66/E66,0)</f>
        <v>-0.0222222222222222</v>
      </c>
      <c r="I66" s="5" t="str">
        <f aca="false">IF(AND(D66="Mantenimiento",G66&gt;50000),"REVISAR - Excede política","OK")</f>
        <v>OK</v>
      </c>
      <c r="J66" s="5" t="s">
        <v>26</v>
      </c>
    </row>
    <row r="67" customFormat="false" ht="15" hidden="false" customHeight="false" outlineLevel="0" collapsed="false">
      <c r="A67" s="5" t="s">
        <v>38</v>
      </c>
      <c r="B67" s="5" t="n">
        <v>4</v>
      </c>
      <c r="C67" s="5" t="s">
        <v>31</v>
      </c>
      <c r="D67" s="5" t="s">
        <v>25</v>
      </c>
      <c r="E67" s="6" t="n">
        <v>540000</v>
      </c>
      <c r="F67" s="6" t="n">
        <v>524900</v>
      </c>
      <c r="G67" s="7" t="n">
        <f aca="false">F67-E67</f>
        <v>-15100</v>
      </c>
      <c r="H67" s="8" t="n">
        <f aca="false">IFERROR(G67/E67,0)</f>
        <v>-0.027962962962963</v>
      </c>
      <c r="I67" s="5" t="str">
        <f aca="false">IF(AND(D67="Mantenimiento",G67&gt;50000),"REVISAR - Excede política","OK")</f>
        <v>OK</v>
      </c>
      <c r="J67" s="5" t="s">
        <v>32</v>
      </c>
    </row>
    <row r="68" customFormat="false" ht="15" hidden="false" customHeight="false" outlineLevel="0" collapsed="false">
      <c r="A68" s="5" t="s">
        <v>38</v>
      </c>
      <c r="B68" s="5" t="n">
        <v>4</v>
      </c>
      <c r="C68" s="5" t="s">
        <v>31</v>
      </c>
      <c r="D68" s="5" t="s">
        <v>27</v>
      </c>
      <c r="E68" s="6" t="n">
        <v>280000</v>
      </c>
      <c r="F68" s="6" t="n">
        <v>270300</v>
      </c>
      <c r="G68" s="7" t="n">
        <f aca="false">F68-E68</f>
        <v>-9700</v>
      </c>
      <c r="H68" s="8" t="n">
        <f aca="false">IFERROR(G68/E68,0)</f>
        <v>-0.0346428571428571</v>
      </c>
      <c r="I68" s="5" t="str">
        <f aca="false">IF(AND(D68="Mantenimiento",G68&gt;50000),"REVISAR - Excede política","OK")</f>
        <v>OK</v>
      </c>
      <c r="J68" s="5" t="s">
        <v>32</v>
      </c>
    </row>
    <row r="69" customFormat="false" ht="15" hidden="false" customHeight="false" outlineLevel="0" collapsed="false">
      <c r="A69" s="5" t="s">
        <v>38</v>
      </c>
      <c r="B69" s="5" t="n">
        <v>4</v>
      </c>
      <c r="C69" s="5" t="s">
        <v>31</v>
      </c>
      <c r="D69" s="5" t="s">
        <v>28</v>
      </c>
      <c r="E69" s="6" t="n">
        <v>88000</v>
      </c>
      <c r="F69" s="6" t="n">
        <v>92700</v>
      </c>
      <c r="G69" s="7" t="n">
        <f aca="false">F69-E69</f>
        <v>4700</v>
      </c>
      <c r="H69" s="8" t="n">
        <f aca="false">IFERROR(G69/E69,0)</f>
        <v>0.0534090909090909</v>
      </c>
      <c r="I69" s="5" t="str">
        <f aca="false">IF(AND(D69="Mantenimiento",G69&gt;50000),"REVISAR - Excede política","OK")</f>
        <v>OK</v>
      </c>
      <c r="J69" s="5" t="s">
        <v>32</v>
      </c>
    </row>
    <row r="70" customFormat="false" ht="15" hidden="false" customHeight="false" outlineLevel="0" collapsed="false">
      <c r="A70" s="5" t="s">
        <v>38</v>
      </c>
      <c r="B70" s="5" t="n">
        <v>4</v>
      </c>
      <c r="C70" s="5" t="s">
        <v>31</v>
      </c>
      <c r="D70" s="5" t="s">
        <v>29</v>
      </c>
      <c r="E70" s="6" t="n">
        <v>70000</v>
      </c>
      <c r="F70" s="6" t="n">
        <v>73200</v>
      </c>
      <c r="G70" s="7" t="n">
        <f aca="false">F70-E70</f>
        <v>3200</v>
      </c>
      <c r="H70" s="8" t="n">
        <f aca="false">IFERROR(G70/E70,0)</f>
        <v>0.0457142857142857</v>
      </c>
      <c r="I70" s="5" t="str">
        <f aca="false">IF(AND(D70="Mantenimiento",G70&gt;50000),"REVISAR - Excede política","OK")</f>
        <v>OK</v>
      </c>
      <c r="J70" s="5" t="s">
        <v>32</v>
      </c>
    </row>
    <row r="71" customFormat="false" ht="15" hidden="false" customHeight="false" outlineLevel="0" collapsed="false">
      <c r="A71" s="5" t="s">
        <v>38</v>
      </c>
      <c r="B71" s="5" t="n">
        <v>4</v>
      </c>
      <c r="C71" s="5" t="s">
        <v>31</v>
      </c>
      <c r="D71" s="5" t="s">
        <v>30</v>
      </c>
      <c r="E71" s="6" t="n">
        <v>40000</v>
      </c>
      <c r="F71" s="6" t="n">
        <v>39100</v>
      </c>
      <c r="G71" s="7" t="n">
        <f aca="false">F71-E71</f>
        <v>-900</v>
      </c>
      <c r="H71" s="8" t="n">
        <f aca="false">IFERROR(G71/E71,0)</f>
        <v>-0.0225</v>
      </c>
      <c r="I71" s="5" t="str">
        <f aca="false">IF(AND(D71="Mantenimiento",G71&gt;50000),"REVISAR - Excede política","OK")</f>
        <v>OK</v>
      </c>
      <c r="J71" s="5" t="s">
        <v>32</v>
      </c>
    </row>
    <row r="72" customFormat="false" ht="15" hidden="false" customHeight="false" outlineLevel="0" collapsed="false">
      <c r="A72" s="5" t="s">
        <v>38</v>
      </c>
      <c r="B72" s="5" t="n">
        <v>4</v>
      </c>
      <c r="C72" s="5" t="s">
        <v>29</v>
      </c>
      <c r="D72" s="5" t="s">
        <v>25</v>
      </c>
      <c r="E72" s="6" t="n">
        <v>35000</v>
      </c>
      <c r="F72" s="6" t="n">
        <v>35700</v>
      </c>
      <c r="G72" s="7" t="n">
        <f aca="false">F72-E72</f>
        <v>700</v>
      </c>
      <c r="H72" s="8" t="n">
        <f aca="false">IFERROR(G72/E72,0)</f>
        <v>0.02</v>
      </c>
      <c r="I72" s="5" t="str">
        <f aca="false">IF(AND(D72="Mantenimiento",G72&gt;50000),"REVISAR - Excede política","OK")</f>
        <v>OK</v>
      </c>
      <c r="J72" s="5" t="s">
        <v>33</v>
      </c>
    </row>
    <row r="73" customFormat="false" ht="15" hidden="false" customHeight="false" outlineLevel="0" collapsed="false">
      <c r="A73" s="5" t="s">
        <v>38</v>
      </c>
      <c r="B73" s="5" t="n">
        <v>4</v>
      </c>
      <c r="C73" s="5" t="s">
        <v>29</v>
      </c>
      <c r="D73" s="5" t="s">
        <v>27</v>
      </c>
      <c r="E73" s="6" t="n">
        <v>150000</v>
      </c>
      <c r="F73" s="6" t="n">
        <v>148100</v>
      </c>
      <c r="G73" s="7" t="n">
        <f aca="false">F73-E73</f>
        <v>-1900</v>
      </c>
      <c r="H73" s="8" t="n">
        <f aca="false">IFERROR(G73/E73,0)</f>
        <v>-0.0126666666666667</v>
      </c>
      <c r="I73" s="5" t="str">
        <f aca="false">IF(AND(D73="Mantenimiento",G73&gt;50000),"REVISAR - Excede política","OK")</f>
        <v>OK</v>
      </c>
      <c r="J73" s="5" t="s">
        <v>33</v>
      </c>
    </row>
    <row r="74" customFormat="false" ht="15" hidden="false" customHeight="false" outlineLevel="0" collapsed="false">
      <c r="A74" s="5" t="s">
        <v>38</v>
      </c>
      <c r="B74" s="5" t="n">
        <v>4</v>
      </c>
      <c r="C74" s="5" t="s">
        <v>29</v>
      </c>
      <c r="D74" s="5" t="s">
        <v>28</v>
      </c>
      <c r="E74" s="6" t="n">
        <v>20000</v>
      </c>
      <c r="F74" s="6" t="n">
        <v>21000</v>
      </c>
      <c r="G74" s="7" t="n">
        <f aca="false">F74-E74</f>
        <v>1000</v>
      </c>
      <c r="H74" s="8" t="n">
        <f aca="false">IFERROR(G74/E74,0)</f>
        <v>0.05</v>
      </c>
      <c r="I74" s="5" t="str">
        <f aca="false">IF(AND(D74="Mantenimiento",G74&gt;50000),"REVISAR - Excede política","OK")</f>
        <v>OK</v>
      </c>
      <c r="J74" s="5" t="s">
        <v>33</v>
      </c>
    </row>
    <row r="75" customFormat="false" ht="15" hidden="false" customHeight="false" outlineLevel="0" collapsed="false">
      <c r="A75" s="5" t="s">
        <v>38</v>
      </c>
      <c r="B75" s="5" t="n">
        <v>4</v>
      </c>
      <c r="C75" s="5" t="s">
        <v>29</v>
      </c>
      <c r="D75" s="5" t="s">
        <v>29</v>
      </c>
      <c r="E75" s="6" t="n">
        <v>85000</v>
      </c>
      <c r="F75" s="6" t="n">
        <v>84600</v>
      </c>
      <c r="G75" s="7" t="n">
        <f aca="false">F75-E75</f>
        <v>-400</v>
      </c>
      <c r="H75" s="8" t="n">
        <f aca="false">IFERROR(G75/E75,0)</f>
        <v>-0.00470588235294118</v>
      </c>
      <c r="I75" s="5" t="str">
        <f aca="false">IF(AND(D75="Mantenimiento",G75&gt;50000),"REVISAR - Excede política","OK")</f>
        <v>OK</v>
      </c>
      <c r="J75" s="5" t="s">
        <v>33</v>
      </c>
    </row>
    <row r="76" customFormat="false" ht="15" hidden="false" customHeight="false" outlineLevel="0" collapsed="false">
      <c r="A76" s="5" t="s">
        <v>38</v>
      </c>
      <c r="B76" s="5" t="n">
        <v>4</v>
      </c>
      <c r="C76" s="5" t="s">
        <v>29</v>
      </c>
      <c r="D76" s="5" t="s">
        <v>30</v>
      </c>
      <c r="E76" s="6" t="n">
        <v>15000</v>
      </c>
      <c r="F76" s="6" t="n">
        <v>14600</v>
      </c>
      <c r="G76" s="7" t="n">
        <f aca="false">F76-E76</f>
        <v>-400</v>
      </c>
      <c r="H76" s="8" t="n">
        <f aca="false">IFERROR(G76/E76,0)</f>
        <v>-0.0266666666666667</v>
      </c>
      <c r="I76" s="5" t="str">
        <f aca="false">IF(AND(D76="Mantenimiento",G76&gt;50000),"REVISAR - Excede política","OK")</f>
        <v>OK</v>
      </c>
      <c r="J76" s="5" t="s">
        <v>33</v>
      </c>
    </row>
    <row r="77" customFormat="false" ht="15" hidden="false" customHeight="false" outlineLevel="0" collapsed="false">
      <c r="A77" s="5" t="s">
        <v>38</v>
      </c>
      <c r="B77" s="5" t="n">
        <v>4</v>
      </c>
      <c r="C77" s="5" t="s">
        <v>34</v>
      </c>
      <c r="D77" s="5" t="s">
        <v>25</v>
      </c>
      <c r="E77" s="6" t="n">
        <v>10000</v>
      </c>
      <c r="F77" s="6" t="n">
        <v>9700</v>
      </c>
      <c r="G77" s="7" t="n">
        <f aca="false">F77-E77</f>
        <v>-300</v>
      </c>
      <c r="H77" s="8" t="n">
        <f aca="false">IFERROR(G77/E77,0)</f>
        <v>-0.03</v>
      </c>
      <c r="I77" s="5" t="str">
        <f aca="false">IF(AND(D77="Mantenimiento",G77&gt;50000),"REVISAR - Excede política","OK")</f>
        <v>OK</v>
      </c>
      <c r="J77" s="5" t="s">
        <v>35</v>
      </c>
    </row>
    <row r="78" customFormat="false" ht="15" hidden="false" customHeight="false" outlineLevel="0" collapsed="false">
      <c r="A78" s="5" t="s">
        <v>38</v>
      </c>
      <c r="B78" s="5" t="n">
        <v>4</v>
      </c>
      <c r="C78" s="5" t="s">
        <v>34</v>
      </c>
      <c r="D78" s="5" t="s">
        <v>27</v>
      </c>
      <c r="E78" s="6" t="n">
        <v>120000</v>
      </c>
      <c r="F78" s="6" t="n">
        <v>120900</v>
      </c>
      <c r="G78" s="7" t="n">
        <f aca="false">F78-E78</f>
        <v>900</v>
      </c>
      <c r="H78" s="8" t="n">
        <f aca="false">IFERROR(G78/E78,0)</f>
        <v>0.0075</v>
      </c>
      <c r="I78" s="5" t="str">
        <f aca="false">IF(AND(D78="Mantenimiento",G78&gt;50000),"REVISAR - Excede política","OK")</f>
        <v>OK</v>
      </c>
      <c r="J78" s="5" t="s">
        <v>35</v>
      </c>
    </row>
    <row r="79" customFormat="false" ht="15" hidden="false" customHeight="false" outlineLevel="0" collapsed="false">
      <c r="A79" s="5" t="s">
        <v>38</v>
      </c>
      <c r="B79" s="5" t="n">
        <v>4</v>
      </c>
      <c r="C79" s="5" t="s">
        <v>34</v>
      </c>
      <c r="D79" s="5" t="s">
        <v>28</v>
      </c>
      <c r="E79" s="6" t="n">
        <v>18000</v>
      </c>
      <c r="F79" s="6" t="n">
        <v>17500</v>
      </c>
      <c r="G79" s="7" t="n">
        <f aca="false">F79-E79</f>
        <v>-500</v>
      </c>
      <c r="H79" s="8" t="n">
        <f aca="false">IFERROR(G79/E79,0)</f>
        <v>-0.0277777777777778</v>
      </c>
      <c r="I79" s="5" t="str">
        <f aca="false">IF(AND(D79="Mantenimiento",G79&gt;50000),"REVISAR - Excede política","OK")</f>
        <v>OK</v>
      </c>
      <c r="J79" s="5" t="s">
        <v>35</v>
      </c>
    </row>
    <row r="80" customFormat="false" ht="15" hidden="false" customHeight="false" outlineLevel="0" collapsed="false">
      <c r="A80" s="5" t="s">
        <v>38</v>
      </c>
      <c r="B80" s="5" t="n">
        <v>4</v>
      </c>
      <c r="C80" s="5" t="s">
        <v>34</v>
      </c>
      <c r="D80" s="5" t="s">
        <v>29</v>
      </c>
      <c r="E80" s="6" t="n">
        <v>25000</v>
      </c>
      <c r="F80" s="6" t="n">
        <v>25300</v>
      </c>
      <c r="G80" s="7" t="n">
        <f aca="false">F80-E80</f>
        <v>300</v>
      </c>
      <c r="H80" s="8" t="n">
        <f aca="false">IFERROR(G80/E80,0)</f>
        <v>0.012</v>
      </c>
      <c r="I80" s="5" t="str">
        <f aca="false">IF(AND(D80="Mantenimiento",G80&gt;50000),"REVISAR - Excede política","OK")</f>
        <v>OK</v>
      </c>
      <c r="J80" s="5" t="s">
        <v>35</v>
      </c>
    </row>
    <row r="81" customFormat="false" ht="15" hidden="false" customHeight="false" outlineLevel="0" collapsed="false">
      <c r="A81" s="5" t="s">
        <v>38</v>
      </c>
      <c r="B81" s="5" t="n">
        <v>4</v>
      </c>
      <c r="C81" s="5" t="s">
        <v>34</v>
      </c>
      <c r="D81" s="5" t="s">
        <v>30</v>
      </c>
      <c r="E81" s="6" t="n">
        <v>210000</v>
      </c>
      <c r="F81" s="6" t="n">
        <v>220000</v>
      </c>
      <c r="G81" s="7" t="n">
        <f aca="false">F81-E81</f>
        <v>10000</v>
      </c>
      <c r="H81" s="8" t="n">
        <f aca="false">IFERROR(G81/E81,0)</f>
        <v>0.0476190476190476</v>
      </c>
      <c r="I81" s="5" t="str">
        <f aca="false">IF(AND(D81="Mantenimiento",G81&gt;50000),"REVISAR - Excede política","OK")</f>
        <v>OK</v>
      </c>
      <c r="J81" s="5" t="s">
        <v>35</v>
      </c>
    </row>
    <row r="82" customFormat="false" ht="15" hidden="false" customHeight="false" outlineLevel="0" collapsed="false">
      <c r="A82" s="5" t="s">
        <v>39</v>
      </c>
      <c r="B82" s="5" t="n">
        <v>5</v>
      </c>
      <c r="C82" s="5" t="s">
        <v>24</v>
      </c>
      <c r="D82" s="5" t="s">
        <v>25</v>
      </c>
      <c r="E82" s="6" t="n">
        <v>620000</v>
      </c>
      <c r="F82" s="6" t="n">
        <v>572400</v>
      </c>
      <c r="G82" s="7" t="n">
        <f aca="false">F82-E82</f>
        <v>-47600</v>
      </c>
      <c r="H82" s="8" t="n">
        <f aca="false">IFERROR(G82/E82,0)</f>
        <v>-0.0767741935483871</v>
      </c>
      <c r="I82" s="5" t="str">
        <f aca="false">IF(AND(D82="Mantenimiento",G82&gt;50000),"REVISAR - Excede política","OK")</f>
        <v>OK</v>
      </c>
      <c r="J82" s="5" t="s">
        <v>26</v>
      </c>
    </row>
    <row r="83" customFormat="false" ht="15" hidden="false" customHeight="false" outlineLevel="0" collapsed="false">
      <c r="A83" s="5" t="s">
        <v>39</v>
      </c>
      <c r="B83" s="5" t="n">
        <v>5</v>
      </c>
      <c r="C83" s="5" t="s">
        <v>24</v>
      </c>
      <c r="D83" s="5" t="s">
        <v>27</v>
      </c>
      <c r="E83" s="6" t="n">
        <v>310000</v>
      </c>
      <c r="F83" s="6" t="n">
        <v>328500</v>
      </c>
      <c r="G83" s="7" t="n">
        <f aca="false">F83-E83</f>
        <v>18500</v>
      </c>
      <c r="H83" s="8" t="n">
        <f aca="false">IFERROR(G83/E83,0)</f>
        <v>0.0596774193548387</v>
      </c>
      <c r="I83" s="5" t="str">
        <f aca="false">IF(AND(D83="Mantenimiento",G83&gt;50000),"REVISAR - Excede política","OK")</f>
        <v>OK</v>
      </c>
      <c r="J83" s="5" t="s">
        <v>26</v>
      </c>
    </row>
    <row r="84" customFormat="false" ht="15" hidden="false" customHeight="false" outlineLevel="0" collapsed="false">
      <c r="A84" s="5" t="s">
        <v>39</v>
      </c>
      <c r="B84" s="5" t="n">
        <v>5</v>
      </c>
      <c r="C84" s="5" t="s">
        <v>24</v>
      </c>
      <c r="D84" s="5" t="s">
        <v>28</v>
      </c>
      <c r="E84" s="6" t="n">
        <v>95000</v>
      </c>
      <c r="F84" s="6" t="n">
        <v>95100</v>
      </c>
      <c r="G84" s="7" t="n">
        <f aca="false">F84-E84</f>
        <v>100</v>
      </c>
      <c r="H84" s="8" t="n">
        <f aca="false">IFERROR(G84/E84,0)</f>
        <v>0.00105263157894737</v>
      </c>
      <c r="I84" s="5" t="str">
        <f aca="false">IF(AND(D84="Mantenimiento",G84&gt;50000),"REVISAR - Excede política","OK")</f>
        <v>OK</v>
      </c>
      <c r="J84" s="5" t="s">
        <v>26</v>
      </c>
    </row>
    <row r="85" customFormat="false" ht="15" hidden="false" customHeight="false" outlineLevel="0" collapsed="false">
      <c r="A85" s="5" t="s">
        <v>39</v>
      </c>
      <c r="B85" s="5" t="n">
        <v>5</v>
      </c>
      <c r="C85" s="5" t="s">
        <v>24</v>
      </c>
      <c r="D85" s="5" t="s">
        <v>29</v>
      </c>
      <c r="E85" s="6" t="n">
        <v>60000</v>
      </c>
      <c r="F85" s="6" t="n">
        <v>57100</v>
      </c>
      <c r="G85" s="7" t="n">
        <f aca="false">F85-E85</f>
        <v>-2900</v>
      </c>
      <c r="H85" s="8" t="n">
        <f aca="false">IFERROR(G85/E85,0)</f>
        <v>-0.0483333333333333</v>
      </c>
      <c r="I85" s="5" t="str">
        <f aca="false">IF(AND(D85="Mantenimiento",G85&gt;50000),"REVISAR - Excede política","OK")</f>
        <v>OK</v>
      </c>
      <c r="J85" s="5" t="s">
        <v>26</v>
      </c>
    </row>
    <row r="86" customFormat="false" ht="15" hidden="false" customHeight="false" outlineLevel="0" collapsed="false">
      <c r="A86" s="5" t="s">
        <v>39</v>
      </c>
      <c r="B86" s="5" t="n">
        <v>5</v>
      </c>
      <c r="C86" s="5" t="s">
        <v>24</v>
      </c>
      <c r="D86" s="5" t="s">
        <v>30</v>
      </c>
      <c r="E86" s="6" t="n">
        <v>45000</v>
      </c>
      <c r="F86" s="6" t="n">
        <v>42600</v>
      </c>
      <c r="G86" s="7" t="n">
        <f aca="false">F86-E86</f>
        <v>-2400</v>
      </c>
      <c r="H86" s="8" t="n">
        <f aca="false">IFERROR(G86/E86,0)</f>
        <v>-0.0533333333333333</v>
      </c>
      <c r="I86" s="5" t="str">
        <f aca="false">IF(AND(D86="Mantenimiento",G86&gt;50000),"REVISAR - Excede política","OK")</f>
        <v>OK</v>
      </c>
      <c r="J86" s="5" t="s">
        <v>26</v>
      </c>
    </row>
    <row r="87" customFormat="false" ht="15" hidden="false" customHeight="false" outlineLevel="0" collapsed="false">
      <c r="A87" s="5" t="s">
        <v>39</v>
      </c>
      <c r="B87" s="5" t="n">
        <v>5</v>
      </c>
      <c r="C87" s="5" t="s">
        <v>31</v>
      </c>
      <c r="D87" s="5" t="s">
        <v>25</v>
      </c>
      <c r="E87" s="6" t="n">
        <v>540000</v>
      </c>
      <c r="F87" s="6" t="n">
        <v>514700</v>
      </c>
      <c r="G87" s="7" t="n">
        <f aca="false">F87-E87</f>
        <v>-25300</v>
      </c>
      <c r="H87" s="8" t="n">
        <f aca="false">IFERROR(G87/E87,0)</f>
        <v>-0.0468518518518519</v>
      </c>
      <c r="I87" s="5" t="str">
        <f aca="false">IF(AND(D87="Mantenimiento",G87&gt;50000),"REVISAR - Excede política","OK")</f>
        <v>OK</v>
      </c>
      <c r="J87" s="5" t="s">
        <v>32</v>
      </c>
    </row>
    <row r="88" customFormat="false" ht="15" hidden="false" customHeight="false" outlineLevel="0" collapsed="false">
      <c r="A88" s="5" t="s">
        <v>39</v>
      </c>
      <c r="B88" s="5" t="n">
        <v>5</v>
      </c>
      <c r="C88" s="5" t="s">
        <v>31</v>
      </c>
      <c r="D88" s="5" t="s">
        <v>27</v>
      </c>
      <c r="E88" s="6" t="n">
        <v>280000</v>
      </c>
      <c r="F88" s="6" t="n">
        <v>284300</v>
      </c>
      <c r="G88" s="7" t="n">
        <f aca="false">F88-E88</f>
        <v>4300</v>
      </c>
      <c r="H88" s="8" t="n">
        <f aca="false">IFERROR(G88/E88,0)</f>
        <v>0.0153571428571429</v>
      </c>
      <c r="I88" s="5" t="str">
        <f aca="false">IF(AND(D88="Mantenimiento",G88&gt;50000),"REVISAR - Excede política","OK")</f>
        <v>OK</v>
      </c>
      <c r="J88" s="5" t="s">
        <v>32</v>
      </c>
    </row>
    <row r="89" customFormat="false" ht="15" hidden="false" customHeight="false" outlineLevel="0" collapsed="false">
      <c r="A89" s="5" t="s">
        <v>39</v>
      </c>
      <c r="B89" s="5" t="n">
        <v>5</v>
      </c>
      <c r="C89" s="5" t="s">
        <v>31</v>
      </c>
      <c r="D89" s="5" t="s">
        <v>28</v>
      </c>
      <c r="E89" s="6" t="n">
        <v>88000</v>
      </c>
      <c r="F89" s="6" t="n">
        <v>91100</v>
      </c>
      <c r="G89" s="7" t="n">
        <f aca="false">F89-E89</f>
        <v>3100</v>
      </c>
      <c r="H89" s="8" t="n">
        <f aca="false">IFERROR(G89/E89,0)</f>
        <v>0.0352272727272727</v>
      </c>
      <c r="I89" s="5" t="str">
        <f aca="false">IF(AND(D89="Mantenimiento",G89&gt;50000),"REVISAR - Excede política","OK")</f>
        <v>OK</v>
      </c>
      <c r="J89" s="5" t="s">
        <v>32</v>
      </c>
    </row>
    <row r="90" customFormat="false" ht="15" hidden="false" customHeight="false" outlineLevel="0" collapsed="false">
      <c r="A90" s="5" t="s">
        <v>39</v>
      </c>
      <c r="B90" s="5" t="n">
        <v>5</v>
      </c>
      <c r="C90" s="5" t="s">
        <v>31</v>
      </c>
      <c r="D90" s="5" t="s">
        <v>29</v>
      </c>
      <c r="E90" s="6" t="n">
        <v>70000</v>
      </c>
      <c r="F90" s="6" t="n">
        <v>69300</v>
      </c>
      <c r="G90" s="7" t="n">
        <f aca="false">F90-E90</f>
        <v>-700</v>
      </c>
      <c r="H90" s="8" t="n">
        <f aca="false">IFERROR(G90/E90,0)</f>
        <v>-0.01</v>
      </c>
      <c r="I90" s="5" t="str">
        <f aca="false">IF(AND(D90="Mantenimiento",G90&gt;50000),"REVISAR - Excede política","OK")</f>
        <v>OK</v>
      </c>
      <c r="J90" s="5" t="s">
        <v>32</v>
      </c>
    </row>
    <row r="91" customFormat="false" ht="15" hidden="false" customHeight="false" outlineLevel="0" collapsed="false">
      <c r="A91" s="5" t="s">
        <v>39</v>
      </c>
      <c r="B91" s="5" t="n">
        <v>5</v>
      </c>
      <c r="C91" s="5" t="s">
        <v>31</v>
      </c>
      <c r="D91" s="5" t="s">
        <v>30</v>
      </c>
      <c r="E91" s="6" t="n">
        <v>40000</v>
      </c>
      <c r="F91" s="6" t="n">
        <v>37900</v>
      </c>
      <c r="G91" s="7" t="n">
        <f aca="false">F91-E91</f>
        <v>-2100</v>
      </c>
      <c r="H91" s="8" t="n">
        <f aca="false">IFERROR(G91/E91,0)</f>
        <v>-0.0525</v>
      </c>
      <c r="I91" s="5" t="str">
        <f aca="false">IF(AND(D91="Mantenimiento",G91&gt;50000),"REVISAR - Excede política","OK")</f>
        <v>OK</v>
      </c>
      <c r="J91" s="5" t="s">
        <v>32</v>
      </c>
    </row>
    <row r="92" customFormat="false" ht="15" hidden="false" customHeight="false" outlineLevel="0" collapsed="false">
      <c r="A92" s="5" t="s">
        <v>39</v>
      </c>
      <c r="B92" s="5" t="n">
        <v>5</v>
      </c>
      <c r="C92" s="5" t="s">
        <v>29</v>
      </c>
      <c r="D92" s="5" t="s">
        <v>25</v>
      </c>
      <c r="E92" s="6" t="n">
        <v>35000</v>
      </c>
      <c r="F92" s="6" t="n">
        <v>34500</v>
      </c>
      <c r="G92" s="7" t="n">
        <f aca="false">F92-E92</f>
        <v>-500</v>
      </c>
      <c r="H92" s="8" t="n">
        <f aca="false">IFERROR(G92/E92,0)</f>
        <v>-0.0142857142857143</v>
      </c>
      <c r="I92" s="5" t="str">
        <f aca="false">IF(AND(D92="Mantenimiento",G92&gt;50000),"REVISAR - Excede política","OK")</f>
        <v>OK</v>
      </c>
      <c r="J92" s="5" t="s">
        <v>33</v>
      </c>
    </row>
    <row r="93" customFormat="false" ht="15" hidden="false" customHeight="false" outlineLevel="0" collapsed="false">
      <c r="A93" s="5" t="s">
        <v>39</v>
      </c>
      <c r="B93" s="5" t="n">
        <v>5</v>
      </c>
      <c r="C93" s="5" t="s">
        <v>29</v>
      </c>
      <c r="D93" s="5" t="s">
        <v>27</v>
      </c>
      <c r="E93" s="6" t="n">
        <v>150000</v>
      </c>
      <c r="F93" s="6" t="n">
        <v>158900</v>
      </c>
      <c r="G93" s="7" t="n">
        <f aca="false">F93-E93</f>
        <v>8900</v>
      </c>
      <c r="H93" s="8" t="n">
        <f aca="false">IFERROR(G93/E93,0)</f>
        <v>0.0593333333333333</v>
      </c>
      <c r="I93" s="5" t="str">
        <f aca="false">IF(AND(D93="Mantenimiento",G93&gt;50000),"REVISAR - Excede política","OK")</f>
        <v>OK</v>
      </c>
      <c r="J93" s="5" t="s">
        <v>33</v>
      </c>
    </row>
    <row r="94" customFormat="false" ht="15" hidden="false" customHeight="false" outlineLevel="0" collapsed="false">
      <c r="A94" s="5" t="s">
        <v>39</v>
      </c>
      <c r="B94" s="5" t="n">
        <v>5</v>
      </c>
      <c r="C94" s="5" t="s">
        <v>29</v>
      </c>
      <c r="D94" s="5" t="s">
        <v>28</v>
      </c>
      <c r="E94" s="6" t="n">
        <v>20000</v>
      </c>
      <c r="F94" s="6" t="n">
        <v>20100</v>
      </c>
      <c r="G94" s="7" t="n">
        <f aca="false">F94-E94</f>
        <v>100</v>
      </c>
      <c r="H94" s="8" t="n">
        <f aca="false">IFERROR(G94/E94,0)</f>
        <v>0.005</v>
      </c>
      <c r="I94" s="5" t="str">
        <f aca="false">IF(AND(D94="Mantenimiento",G94&gt;50000),"REVISAR - Excede política","OK")</f>
        <v>OK</v>
      </c>
      <c r="J94" s="5" t="s">
        <v>33</v>
      </c>
    </row>
    <row r="95" customFormat="false" ht="15" hidden="false" customHeight="false" outlineLevel="0" collapsed="false">
      <c r="A95" s="5" t="s">
        <v>39</v>
      </c>
      <c r="B95" s="5" t="n">
        <v>5</v>
      </c>
      <c r="C95" s="5" t="s">
        <v>29</v>
      </c>
      <c r="D95" s="5" t="s">
        <v>29</v>
      </c>
      <c r="E95" s="6" t="n">
        <v>85000</v>
      </c>
      <c r="F95" s="6" t="n">
        <v>89800</v>
      </c>
      <c r="G95" s="7" t="n">
        <f aca="false">F95-E95</f>
        <v>4800</v>
      </c>
      <c r="H95" s="8" t="n">
        <f aca="false">IFERROR(G95/E95,0)</f>
        <v>0.0564705882352941</v>
      </c>
      <c r="I95" s="5" t="str">
        <f aca="false">IF(AND(D95="Mantenimiento",G95&gt;50000),"REVISAR - Excede política","OK")</f>
        <v>OK</v>
      </c>
      <c r="J95" s="5" t="s">
        <v>33</v>
      </c>
    </row>
    <row r="96" customFormat="false" ht="15" hidden="false" customHeight="false" outlineLevel="0" collapsed="false">
      <c r="A96" s="5" t="s">
        <v>39</v>
      </c>
      <c r="B96" s="5" t="n">
        <v>5</v>
      </c>
      <c r="C96" s="5" t="s">
        <v>29</v>
      </c>
      <c r="D96" s="5" t="s">
        <v>30</v>
      </c>
      <c r="E96" s="6" t="n">
        <v>15000</v>
      </c>
      <c r="F96" s="6" t="n">
        <v>15600</v>
      </c>
      <c r="G96" s="7" t="n">
        <f aca="false">F96-E96</f>
        <v>600</v>
      </c>
      <c r="H96" s="8" t="n">
        <f aca="false">IFERROR(G96/E96,0)</f>
        <v>0.04</v>
      </c>
      <c r="I96" s="5" t="str">
        <f aca="false">IF(AND(D96="Mantenimiento",G96&gt;50000),"REVISAR - Excede política","OK")</f>
        <v>OK</v>
      </c>
      <c r="J96" s="5" t="s">
        <v>33</v>
      </c>
    </row>
    <row r="97" customFormat="false" ht="15" hidden="false" customHeight="false" outlineLevel="0" collapsed="false">
      <c r="A97" s="5" t="s">
        <v>39</v>
      </c>
      <c r="B97" s="5" t="n">
        <v>5</v>
      </c>
      <c r="C97" s="5" t="s">
        <v>34</v>
      </c>
      <c r="D97" s="5" t="s">
        <v>25</v>
      </c>
      <c r="E97" s="6" t="n">
        <v>10000</v>
      </c>
      <c r="F97" s="6" t="n">
        <v>9400</v>
      </c>
      <c r="G97" s="7" t="n">
        <f aca="false">F97-E97</f>
        <v>-600</v>
      </c>
      <c r="H97" s="8" t="n">
        <f aca="false">IFERROR(G97/E97,0)</f>
        <v>-0.06</v>
      </c>
      <c r="I97" s="5" t="str">
        <f aca="false">IF(AND(D97="Mantenimiento",G97&gt;50000),"REVISAR - Excede política","OK")</f>
        <v>OK</v>
      </c>
      <c r="J97" s="5" t="s">
        <v>35</v>
      </c>
    </row>
    <row r="98" customFormat="false" ht="15" hidden="false" customHeight="false" outlineLevel="0" collapsed="false">
      <c r="A98" s="5" t="s">
        <v>39</v>
      </c>
      <c r="B98" s="5" t="n">
        <v>5</v>
      </c>
      <c r="C98" s="5" t="s">
        <v>34</v>
      </c>
      <c r="D98" s="5" t="s">
        <v>27</v>
      </c>
      <c r="E98" s="6" t="n">
        <v>120000</v>
      </c>
      <c r="F98" s="6" t="n">
        <v>123200</v>
      </c>
      <c r="G98" s="7" t="n">
        <f aca="false">F98-E98</f>
        <v>3200</v>
      </c>
      <c r="H98" s="8" t="n">
        <f aca="false">IFERROR(G98/E98,0)</f>
        <v>0.0266666666666667</v>
      </c>
      <c r="I98" s="5" t="str">
        <f aca="false">IF(AND(D98="Mantenimiento",G98&gt;50000),"REVISAR - Excede política","OK")</f>
        <v>OK</v>
      </c>
      <c r="J98" s="5" t="s">
        <v>35</v>
      </c>
    </row>
    <row r="99" customFormat="false" ht="15" hidden="false" customHeight="false" outlineLevel="0" collapsed="false">
      <c r="A99" s="5" t="s">
        <v>39</v>
      </c>
      <c r="B99" s="5" t="n">
        <v>5</v>
      </c>
      <c r="C99" s="5" t="s">
        <v>34</v>
      </c>
      <c r="D99" s="5" t="s">
        <v>28</v>
      </c>
      <c r="E99" s="6" t="n">
        <v>18000</v>
      </c>
      <c r="F99" s="6" t="n">
        <v>18400</v>
      </c>
      <c r="G99" s="7" t="n">
        <f aca="false">F99-E99</f>
        <v>400</v>
      </c>
      <c r="H99" s="8" t="n">
        <f aca="false">IFERROR(G99/E99,0)</f>
        <v>0.0222222222222222</v>
      </c>
      <c r="I99" s="5" t="str">
        <f aca="false">IF(AND(D99="Mantenimiento",G99&gt;50000),"REVISAR - Excede política","OK")</f>
        <v>OK</v>
      </c>
      <c r="J99" s="5" t="s">
        <v>35</v>
      </c>
    </row>
    <row r="100" customFormat="false" ht="15" hidden="false" customHeight="false" outlineLevel="0" collapsed="false">
      <c r="A100" s="5" t="s">
        <v>39</v>
      </c>
      <c r="B100" s="5" t="n">
        <v>5</v>
      </c>
      <c r="C100" s="5" t="s">
        <v>34</v>
      </c>
      <c r="D100" s="5" t="s">
        <v>29</v>
      </c>
      <c r="E100" s="6" t="n">
        <v>25000</v>
      </c>
      <c r="F100" s="6" t="n">
        <v>25100</v>
      </c>
      <c r="G100" s="7" t="n">
        <f aca="false">F100-E100</f>
        <v>100</v>
      </c>
      <c r="H100" s="8" t="n">
        <f aca="false">IFERROR(G100/E100,0)</f>
        <v>0.004</v>
      </c>
      <c r="I100" s="5" t="str">
        <f aca="false">IF(AND(D100="Mantenimiento",G100&gt;50000),"REVISAR - Excede política","OK")</f>
        <v>OK</v>
      </c>
      <c r="J100" s="5" t="s">
        <v>35</v>
      </c>
    </row>
    <row r="101" customFormat="false" ht="15" hidden="false" customHeight="false" outlineLevel="0" collapsed="false">
      <c r="A101" s="5" t="s">
        <v>39</v>
      </c>
      <c r="B101" s="5" t="n">
        <v>5</v>
      </c>
      <c r="C101" s="5" t="s">
        <v>34</v>
      </c>
      <c r="D101" s="5" t="s">
        <v>30</v>
      </c>
      <c r="E101" s="6" t="n">
        <v>210000</v>
      </c>
      <c r="F101" s="6" t="n">
        <v>204100</v>
      </c>
      <c r="G101" s="7" t="n">
        <f aca="false">F101-E101</f>
        <v>-5900</v>
      </c>
      <c r="H101" s="8" t="n">
        <f aca="false">IFERROR(G101/E101,0)</f>
        <v>-0.0280952380952381</v>
      </c>
      <c r="I101" s="5" t="str">
        <f aca="false">IF(AND(D101="Mantenimiento",G101&gt;50000),"REVISAR - Excede política","OK")</f>
        <v>OK</v>
      </c>
      <c r="J101" s="5" t="s">
        <v>35</v>
      </c>
    </row>
    <row r="102" customFormat="false" ht="15" hidden="false" customHeight="false" outlineLevel="0" collapsed="false">
      <c r="A102" s="5" t="s">
        <v>40</v>
      </c>
      <c r="B102" s="5" t="n">
        <v>6</v>
      </c>
      <c r="C102" s="5" t="s">
        <v>24</v>
      </c>
      <c r="D102" s="5" t="s">
        <v>25</v>
      </c>
      <c r="E102" s="6" t="n">
        <v>620000</v>
      </c>
      <c r="F102" s="6" t="n">
        <v>568300</v>
      </c>
      <c r="G102" s="7" t="n">
        <f aca="false">F102-E102</f>
        <v>-51700</v>
      </c>
      <c r="H102" s="8" t="n">
        <f aca="false">IFERROR(G102/E102,0)</f>
        <v>-0.0833870967741936</v>
      </c>
      <c r="I102" s="5" t="str">
        <f aca="false">IF(AND(D102="Mantenimiento",G102&gt;50000),"REVISAR - Excede política","OK")</f>
        <v>OK</v>
      </c>
      <c r="J102" s="5" t="s">
        <v>26</v>
      </c>
    </row>
    <row r="103" customFormat="false" ht="15" hidden="false" customHeight="false" outlineLevel="0" collapsed="false">
      <c r="A103" s="5" t="s">
        <v>40</v>
      </c>
      <c r="B103" s="5" t="n">
        <v>6</v>
      </c>
      <c r="C103" s="5" t="s">
        <v>24</v>
      </c>
      <c r="D103" s="5" t="s">
        <v>27</v>
      </c>
      <c r="E103" s="6" t="n">
        <v>310000</v>
      </c>
      <c r="F103" s="6" t="n">
        <v>307600</v>
      </c>
      <c r="G103" s="7" t="n">
        <f aca="false">F103-E103</f>
        <v>-2400</v>
      </c>
      <c r="H103" s="8" t="n">
        <f aca="false">IFERROR(G103/E103,0)</f>
        <v>-0.00774193548387097</v>
      </c>
      <c r="I103" s="5" t="str">
        <f aca="false">IF(AND(D103="Mantenimiento",G103&gt;50000),"REVISAR - Excede política","OK")</f>
        <v>OK</v>
      </c>
      <c r="J103" s="5" t="s">
        <v>26</v>
      </c>
    </row>
    <row r="104" customFormat="false" ht="15" hidden="false" customHeight="false" outlineLevel="0" collapsed="false">
      <c r="A104" s="5" t="s">
        <v>40</v>
      </c>
      <c r="B104" s="5" t="n">
        <v>6</v>
      </c>
      <c r="C104" s="5" t="s">
        <v>24</v>
      </c>
      <c r="D104" s="5" t="s">
        <v>28</v>
      </c>
      <c r="E104" s="6" t="n">
        <v>95000</v>
      </c>
      <c r="F104" s="6" t="n">
        <v>94500</v>
      </c>
      <c r="G104" s="7" t="n">
        <f aca="false">F104-E104</f>
        <v>-500</v>
      </c>
      <c r="H104" s="8" t="n">
        <f aca="false">IFERROR(G104/E104,0)</f>
        <v>-0.00526315789473684</v>
      </c>
      <c r="I104" s="5" t="str">
        <f aca="false">IF(AND(D104="Mantenimiento",G104&gt;50000),"REVISAR - Excede política","OK")</f>
        <v>OK</v>
      </c>
      <c r="J104" s="5" t="s">
        <v>26</v>
      </c>
    </row>
    <row r="105" customFormat="false" ht="15" hidden="false" customHeight="false" outlineLevel="0" collapsed="false">
      <c r="A105" s="5" t="s">
        <v>40</v>
      </c>
      <c r="B105" s="5" t="n">
        <v>6</v>
      </c>
      <c r="C105" s="5" t="s">
        <v>24</v>
      </c>
      <c r="D105" s="5" t="s">
        <v>29</v>
      </c>
      <c r="E105" s="6" t="n">
        <v>60000</v>
      </c>
      <c r="F105" s="6" t="n">
        <v>63300</v>
      </c>
      <c r="G105" s="7" t="n">
        <f aca="false">F105-E105</f>
        <v>3300</v>
      </c>
      <c r="H105" s="8" t="n">
        <f aca="false">IFERROR(G105/E105,0)</f>
        <v>0.055</v>
      </c>
      <c r="I105" s="5" t="str">
        <f aca="false">IF(AND(D105="Mantenimiento",G105&gt;50000),"REVISAR - Excede política","OK")</f>
        <v>OK</v>
      </c>
      <c r="J105" s="5" t="s">
        <v>26</v>
      </c>
    </row>
    <row r="106" customFormat="false" ht="15" hidden="false" customHeight="false" outlineLevel="0" collapsed="false">
      <c r="A106" s="5" t="s">
        <v>40</v>
      </c>
      <c r="B106" s="5" t="n">
        <v>6</v>
      </c>
      <c r="C106" s="5" t="s">
        <v>24</v>
      </c>
      <c r="D106" s="5" t="s">
        <v>30</v>
      </c>
      <c r="E106" s="6" t="n">
        <v>45000</v>
      </c>
      <c r="F106" s="6" t="n">
        <v>47000</v>
      </c>
      <c r="G106" s="7" t="n">
        <f aca="false">F106-E106</f>
        <v>2000</v>
      </c>
      <c r="H106" s="8" t="n">
        <f aca="false">IFERROR(G106/E106,0)</f>
        <v>0.0444444444444444</v>
      </c>
      <c r="I106" s="5" t="str">
        <f aca="false">IF(AND(D106="Mantenimiento",G106&gt;50000),"REVISAR - Excede política","OK")</f>
        <v>OK</v>
      </c>
      <c r="J106" s="5" t="s">
        <v>26</v>
      </c>
    </row>
    <row r="107" customFormat="false" ht="15" hidden="false" customHeight="false" outlineLevel="0" collapsed="false">
      <c r="A107" s="5" t="s">
        <v>40</v>
      </c>
      <c r="B107" s="5" t="n">
        <v>6</v>
      </c>
      <c r="C107" s="5" t="s">
        <v>31</v>
      </c>
      <c r="D107" s="5" t="s">
        <v>25</v>
      </c>
      <c r="E107" s="6" t="n">
        <v>540000</v>
      </c>
      <c r="F107" s="6" t="n">
        <v>524700</v>
      </c>
      <c r="G107" s="7" t="n">
        <f aca="false">F107-E107</f>
        <v>-15300</v>
      </c>
      <c r="H107" s="8" t="n">
        <f aca="false">IFERROR(G107/E107,0)</f>
        <v>-0.0283333333333333</v>
      </c>
      <c r="I107" s="5" t="str">
        <f aca="false">IF(AND(D107="Mantenimiento",G107&gt;50000),"REVISAR - Excede política","OK")</f>
        <v>OK</v>
      </c>
      <c r="J107" s="5" t="s">
        <v>32</v>
      </c>
    </row>
    <row r="108" customFormat="false" ht="15" hidden="false" customHeight="false" outlineLevel="0" collapsed="false">
      <c r="A108" s="5" t="s">
        <v>40</v>
      </c>
      <c r="B108" s="5" t="n">
        <v>6</v>
      </c>
      <c r="C108" s="5" t="s">
        <v>31</v>
      </c>
      <c r="D108" s="5" t="s">
        <v>27</v>
      </c>
      <c r="E108" s="6" t="n">
        <v>280000</v>
      </c>
      <c r="F108" s="6" t="n">
        <v>280000</v>
      </c>
      <c r="G108" s="7" t="n">
        <f aca="false">F108-E108</f>
        <v>0</v>
      </c>
      <c r="H108" s="8" t="n">
        <f aca="false">IFERROR(G108/E108,0)</f>
        <v>0</v>
      </c>
      <c r="I108" s="5" t="str">
        <f aca="false">IF(AND(D108="Mantenimiento",G108&gt;50000),"REVISAR - Excede política","OK")</f>
        <v>OK</v>
      </c>
      <c r="J108" s="5" t="s">
        <v>32</v>
      </c>
    </row>
    <row r="109" customFormat="false" ht="15" hidden="false" customHeight="false" outlineLevel="0" collapsed="false">
      <c r="A109" s="5" t="s">
        <v>40</v>
      </c>
      <c r="B109" s="5" t="n">
        <v>6</v>
      </c>
      <c r="C109" s="5" t="s">
        <v>31</v>
      </c>
      <c r="D109" s="5" t="s">
        <v>28</v>
      </c>
      <c r="E109" s="6" t="n">
        <v>88000</v>
      </c>
      <c r="F109" s="6" t="n">
        <v>84600</v>
      </c>
      <c r="G109" s="7" t="n">
        <f aca="false">F109-E109</f>
        <v>-3400</v>
      </c>
      <c r="H109" s="8" t="n">
        <f aca="false">IFERROR(G109/E109,0)</f>
        <v>-0.0386363636363636</v>
      </c>
      <c r="I109" s="5" t="str">
        <f aca="false">IF(AND(D109="Mantenimiento",G109&gt;50000),"REVISAR - Excede política","OK")</f>
        <v>OK</v>
      </c>
      <c r="J109" s="5" t="s">
        <v>32</v>
      </c>
    </row>
    <row r="110" customFormat="false" ht="15" hidden="false" customHeight="false" outlineLevel="0" collapsed="false">
      <c r="A110" s="5" t="s">
        <v>40</v>
      </c>
      <c r="B110" s="5" t="n">
        <v>6</v>
      </c>
      <c r="C110" s="5" t="s">
        <v>31</v>
      </c>
      <c r="D110" s="5" t="s">
        <v>29</v>
      </c>
      <c r="E110" s="6" t="n">
        <v>70000</v>
      </c>
      <c r="F110" s="6" t="n">
        <v>73500</v>
      </c>
      <c r="G110" s="7" t="n">
        <f aca="false">F110-E110</f>
        <v>3500</v>
      </c>
      <c r="H110" s="8" t="n">
        <f aca="false">IFERROR(G110/E110,0)</f>
        <v>0.05</v>
      </c>
      <c r="I110" s="5" t="str">
        <f aca="false">IF(AND(D110="Mantenimiento",G110&gt;50000),"REVISAR - Excede política","OK")</f>
        <v>OK</v>
      </c>
      <c r="J110" s="5" t="s">
        <v>32</v>
      </c>
    </row>
    <row r="111" customFormat="false" ht="15" hidden="false" customHeight="false" outlineLevel="0" collapsed="false">
      <c r="A111" s="5" t="s">
        <v>40</v>
      </c>
      <c r="B111" s="5" t="n">
        <v>6</v>
      </c>
      <c r="C111" s="5" t="s">
        <v>31</v>
      </c>
      <c r="D111" s="5" t="s">
        <v>30</v>
      </c>
      <c r="E111" s="6" t="n">
        <v>40000</v>
      </c>
      <c r="F111" s="6" t="n">
        <v>41800</v>
      </c>
      <c r="G111" s="7" t="n">
        <f aca="false">F111-E111</f>
        <v>1800</v>
      </c>
      <c r="H111" s="8" t="n">
        <f aca="false">IFERROR(G111/E111,0)</f>
        <v>0.045</v>
      </c>
      <c r="I111" s="5" t="str">
        <f aca="false">IF(AND(D111="Mantenimiento",G111&gt;50000),"REVISAR - Excede política","OK")</f>
        <v>OK</v>
      </c>
      <c r="J111" s="5" t="s">
        <v>32</v>
      </c>
    </row>
    <row r="112" customFormat="false" ht="15" hidden="false" customHeight="false" outlineLevel="0" collapsed="false">
      <c r="A112" s="5" t="s">
        <v>40</v>
      </c>
      <c r="B112" s="5" t="n">
        <v>6</v>
      </c>
      <c r="C112" s="5" t="s">
        <v>29</v>
      </c>
      <c r="D112" s="5" t="s">
        <v>25</v>
      </c>
      <c r="E112" s="6" t="n">
        <v>35000</v>
      </c>
      <c r="F112" s="6" t="n">
        <v>34200</v>
      </c>
      <c r="G112" s="7" t="n">
        <f aca="false">F112-E112</f>
        <v>-800</v>
      </c>
      <c r="H112" s="8" t="n">
        <f aca="false">IFERROR(G112/E112,0)</f>
        <v>-0.0228571428571429</v>
      </c>
      <c r="I112" s="5" t="str">
        <f aca="false">IF(AND(D112="Mantenimiento",G112&gt;50000),"REVISAR - Excede política","OK")</f>
        <v>OK</v>
      </c>
      <c r="J112" s="5" t="s">
        <v>33</v>
      </c>
    </row>
    <row r="113" customFormat="false" ht="15" hidden="false" customHeight="false" outlineLevel="0" collapsed="false">
      <c r="A113" s="5" t="s">
        <v>40</v>
      </c>
      <c r="B113" s="5" t="n">
        <v>6</v>
      </c>
      <c r="C113" s="5" t="s">
        <v>29</v>
      </c>
      <c r="D113" s="5" t="s">
        <v>27</v>
      </c>
      <c r="E113" s="6" t="n">
        <v>150000</v>
      </c>
      <c r="F113" s="6" t="n">
        <v>152500</v>
      </c>
      <c r="G113" s="7" t="n">
        <f aca="false">F113-E113</f>
        <v>2500</v>
      </c>
      <c r="H113" s="8" t="n">
        <f aca="false">IFERROR(G113/E113,0)</f>
        <v>0.0166666666666667</v>
      </c>
      <c r="I113" s="5" t="str">
        <f aca="false">IF(AND(D113="Mantenimiento",G113&gt;50000),"REVISAR - Excede política","OK")</f>
        <v>OK</v>
      </c>
      <c r="J113" s="5" t="s">
        <v>33</v>
      </c>
    </row>
    <row r="114" customFormat="false" ht="15" hidden="false" customHeight="false" outlineLevel="0" collapsed="false">
      <c r="A114" s="5" t="s">
        <v>40</v>
      </c>
      <c r="B114" s="5" t="n">
        <v>6</v>
      </c>
      <c r="C114" s="5" t="s">
        <v>29</v>
      </c>
      <c r="D114" s="5" t="s">
        <v>28</v>
      </c>
      <c r="E114" s="6" t="n">
        <v>20000</v>
      </c>
      <c r="F114" s="6" t="n">
        <v>20300</v>
      </c>
      <c r="G114" s="7" t="n">
        <f aca="false">F114-E114</f>
        <v>300</v>
      </c>
      <c r="H114" s="8" t="n">
        <f aca="false">IFERROR(G114/E114,0)</f>
        <v>0.015</v>
      </c>
      <c r="I114" s="5" t="str">
        <f aca="false">IF(AND(D114="Mantenimiento",G114&gt;50000),"REVISAR - Excede política","OK")</f>
        <v>OK</v>
      </c>
      <c r="J114" s="5" t="s">
        <v>33</v>
      </c>
    </row>
    <row r="115" customFormat="false" ht="15" hidden="false" customHeight="false" outlineLevel="0" collapsed="false">
      <c r="A115" s="5" t="s">
        <v>40</v>
      </c>
      <c r="B115" s="5" t="n">
        <v>6</v>
      </c>
      <c r="C115" s="5" t="s">
        <v>29</v>
      </c>
      <c r="D115" s="5" t="s">
        <v>29</v>
      </c>
      <c r="E115" s="6" t="n">
        <v>85000</v>
      </c>
      <c r="F115" s="6" t="n">
        <v>81500</v>
      </c>
      <c r="G115" s="7" t="n">
        <f aca="false">F115-E115</f>
        <v>-3500</v>
      </c>
      <c r="H115" s="8" t="n">
        <f aca="false">IFERROR(G115/E115,0)</f>
        <v>-0.0411764705882353</v>
      </c>
      <c r="I115" s="5" t="str">
        <f aca="false">IF(AND(D115="Mantenimiento",G115&gt;50000),"REVISAR - Excede política","OK")</f>
        <v>OK</v>
      </c>
      <c r="J115" s="5" t="s">
        <v>33</v>
      </c>
    </row>
    <row r="116" customFormat="false" ht="15" hidden="false" customHeight="false" outlineLevel="0" collapsed="false">
      <c r="A116" s="5" t="s">
        <v>40</v>
      </c>
      <c r="B116" s="5" t="n">
        <v>6</v>
      </c>
      <c r="C116" s="5" t="s">
        <v>29</v>
      </c>
      <c r="D116" s="5" t="s">
        <v>30</v>
      </c>
      <c r="E116" s="6" t="n">
        <v>15000</v>
      </c>
      <c r="F116" s="6" t="n">
        <v>15500</v>
      </c>
      <c r="G116" s="7" t="n">
        <f aca="false">F116-E116</f>
        <v>500</v>
      </c>
      <c r="H116" s="8" t="n">
        <f aca="false">IFERROR(G116/E116,0)</f>
        <v>0.0333333333333333</v>
      </c>
      <c r="I116" s="5" t="str">
        <f aca="false">IF(AND(D116="Mantenimiento",G116&gt;50000),"REVISAR - Excede política","OK")</f>
        <v>OK</v>
      </c>
      <c r="J116" s="5" t="s">
        <v>33</v>
      </c>
    </row>
    <row r="117" customFormat="false" ht="15" hidden="false" customHeight="false" outlineLevel="0" collapsed="false">
      <c r="A117" s="5" t="s">
        <v>40</v>
      </c>
      <c r="B117" s="5" t="n">
        <v>6</v>
      </c>
      <c r="C117" s="5" t="s">
        <v>34</v>
      </c>
      <c r="D117" s="5" t="s">
        <v>25</v>
      </c>
      <c r="E117" s="6" t="n">
        <v>10000</v>
      </c>
      <c r="F117" s="6" t="n">
        <v>10000</v>
      </c>
      <c r="G117" s="7" t="n">
        <f aca="false">F117-E117</f>
        <v>0</v>
      </c>
      <c r="H117" s="8" t="n">
        <f aca="false">IFERROR(G117/E117,0)</f>
        <v>0</v>
      </c>
      <c r="I117" s="5" t="str">
        <f aca="false">IF(AND(D117="Mantenimiento",G117&gt;50000),"REVISAR - Excede política","OK")</f>
        <v>OK</v>
      </c>
      <c r="J117" s="5" t="s">
        <v>35</v>
      </c>
    </row>
    <row r="118" customFormat="false" ht="15" hidden="false" customHeight="false" outlineLevel="0" collapsed="false">
      <c r="A118" s="5" t="s">
        <v>40</v>
      </c>
      <c r="B118" s="5" t="n">
        <v>6</v>
      </c>
      <c r="C118" s="5" t="s">
        <v>34</v>
      </c>
      <c r="D118" s="5" t="s">
        <v>27</v>
      </c>
      <c r="E118" s="6" t="n">
        <v>120000</v>
      </c>
      <c r="F118" s="6" t="n">
        <v>124000</v>
      </c>
      <c r="G118" s="7" t="n">
        <f aca="false">F118-E118</f>
        <v>4000</v>
      </c>
      <c r="H118" s="8" t="n">
        <f aca="false">IFERROR(G118/E118,0)</f>
        <v>0.0333333333333333</v>
      </c>
      <c r="I118" s="5" t="str">
        <f aca="false">IF(AND(D118="Mantenimiento",G118&gt;50000),"REVISAR - Excede política","OK")</f>
        <v>OK</v>
      </c>
      <c r="J118" s="5" t="s">
        <v>35</v>
      </c>
    </row>
    <row r="119" customFormat="false" ht="15" hidden="false" customHeight="false" outlineLevel="0" collapsed="false">
      <c r="A119" s="5" t="s">
        <v>40</v>
      </c>
      <c r="B119" s="5" t="n">
        <v>6</v>
      </c>
      <c r="C119" s="5" t="s">
        <v>34</v>
      </c>
      <c r="D119" s="5" t="s">
        <v>28</v>
      </c>
      <c r="E119" s="6" t="n">
        <v>18000</v>
      </c>
      <c r="F119" s="6" t="n">
        <v>18100</v>
      </c>
      <c r="G119" s="7" t="n">
        <f aca="false">F119-E119</f>
        <v>100</v>
      </c>
      <c r="H119" s="8" t="n">
        <f aca="false">IFERROR(G119/E119,0)</f>
        <v>0.00555555555555556</v>
      </c>
      <c r="I119" s="5" t="str">
        <f aca="false">IF(AND(D119="Mantenimiento",G119&gt;50000),"REVISAR - Excede política","OK")</f>
        <v>OK</v>
      </c>
      <c r="J119" s="5" t="s">
        <v>35</v>
      </c>
    </row>
    <row r="120" customFormat="false" ht="15" hidden="false" customHeight="false" outlineLevel="0" collapsed="false">
      <c r="A120" s="5" t="s">
        <v>40</v>
      </c>
      <c r="B120" s="5" t="n">
        <v>6</v>
      </c>
      <c r="C120" s="5" t="s">
        <v>34</v>
      </c>
      <c r="D120" s="5" t="s">
        <v>29</v>
      </c>
      <c r="E120" s="6" t="n">
        <v>25000</v>
      </c>
      <c r="F120" s="6" t="n">
        <v>23500</v>
      </c>
      <c r="G120" s="7" t="n">
        <f aca="false">F120-E120</f>
        <v>-1500</v>
      </c>
      <c r="H120" s="8" t="n">
        <f aca="false">IFERROR(G120/E120,0)</f>
        <v>-0.06</v>
      </c>
      <c r="I120" s="5" t="str">
        <f aca="false">IF(AND(D120="Mantenimiento",G120&gt;50000),"REVISAR - Excede política","OK")</f>
        <v>OK</v>
      </c>
      <c r="J120" s="5" t="s">
        <v>35</v>
      </c>
    </row>
    <row r="121" customFormat="false" ht="15" hidden="false" customHeight="false" outlineLevel="0" collapsed="false">
      <c r="A121" s="5" t="s">
        <v>40</v>
      </c>
      <c r="B121" s="5" t="n">
        <v>6</v>
      </c>
      <c r="C121" s="5" t="s">
        <v>34</v>
      </c>
      <c r="D121" s="5" t="s">
        <v>30</v>
      </c>
      <c r="E121" s="6" t="n">
        <v>210000</v>
      </c>
      <c r="F121" s="6" t="n">
        <v>205600</v>
      </c>
      <c r="G121" s="7" t="n">
        <f aca="false">F121-E121</f>
        <v>-4400</v>
      </c>
      <c r="H121" s="8" t="n">
        <f aca="false">IFERROR(G121/E121,0)</f>
        <v>-0.020952380952381</v>
      </c>
      <c r="I121" s="5" t="str">
        <f aca="false">IF(AND(D121="Mantenimiento",G121&gt;50000),"REVISAR - Excede política","OK")</f>
        <v>OK</v>
      </c>
      <c r="J121" s="5" t="s">
        <v>35</v>
      </c>
    </row>
    <row r="122" customFormat="false" ht="15" hidden="false" customHeight="false" outlineLevel="0" collapsed="false">
      <c r="A122" s="5" t="s">
        <v>41</v>
      </c>
      <c r="B122" s="5" t="n">
        <v>7</v>
      </c>
      <c r="C122" s="5" t="s">
        <v>24</v>
      </c>
      <c r="D122" s="5" t="s">
        <v>25</v>
      </c>
      <c r="E122" s="6" t="n">
        <v>620000</v>
      </c>
      <c r="F122" s="6" t="n">
        <v>598800</v>
      </c>
      <c r="G122" s="7" t="n">
        <f aca="false">F122-E122</f>
        <v>-21200</v>
      </c>
      <c r="H122" s="8" t="n">
        <f aca="false">IFERROR(G122/E122,0)</f>
        <v>-0.0341935483870968</v>
      </c>
      <c r="I122" s="5" t="str">
        <f aca="false">IF(AND(D122="Mantenimiento",G122&gt;50000),"REVISAR - Excede política","OK")</f>
        <v>OK</v>
      </c>
      <c r="J122" s="5" t="s">
        <v>26</v>
      </c>
    </row>
    <row r="123" customFormat="false" ht="15" hidden="false" customHeight="false" outlineLevel="0" collapsed="false">
      <c r="A123" s="5" t="s">
        <v>41</v>
      </c>
      <c r="B123" s="5" t="n">
        <v>7</v>
      </c>
      <c r="C123" s="5" t="s">
        <v>24</v>
      </c>
      <c r="D123" s="5" t="s">
        <v>27</v>
      </c>
      <c r="E123" s="6" t="n">
        <v>310000</v>
      </c>
      <c r="F123" s="6" t="n">
        <v>324100</v>
      </c>
      <c r="G123" s="7" t="n">
        <f aca="false">F123-E123</f>
        <v>14100</v>
      </c>
      <c r="H123" s="8" t="n">
        <f aca="false">IFERROR(G123/E123,0)</f>
        <v>0.0454838709677419</v>
      </c>
      <c r="I123" s="5" t="str">
        <f aca="false">IF(AND(D123="Mantenimiento",G123&gt;50000),"REVISAR - Excede política","OK")</f>
        <v>OK</v>
      </c>
      <c r="J123" s="5" t="s">
        <v>26</v>
      </c>
    </row>
    <row r="124" customFormat="false" ht="15" hidden="false" customHeight="false" outlineLevel="0" collapsed="false">
      <c r="A124" s="5" t="s">
        <v>41</v>
      </c>
      <c r="B124" s="5" t="n">
        <v>7</v>
      </c>
      <c r="C124" s="5" t="s">
        <v>24</v>
      </c>
      <c r="D124" s="5" t="s">
        <v>28</v>
      </c>
      <c r="E124" s="6" t="n">
        <v>95000</v>
      </c>
      <c r="F124" s="6" t="n">
        <v>98800</v>
      </c>
      <c r="G124" s="7" t="n">
        <f aca="false">F124-E124</f>
        <v>3800</v>
      </c>
      <c r="H124" s="8" t="n">
        <f aca="false">IFERROR(G124/E124,0)</f>
        <v>0.04</v>
      </c>
      <c r="I124" s="5" t="str">
        <f aca="false">IF(AND(D124="Mantenimiento",G124&gt;50000),"REVISAR - Excede política","OK")</f>
        <v>OK</v>
      </c>
      <c r="J124" s="5" t="s">
        <v>26</v>
      </c>
    </row>
    <row r="125" customFormat="false" ht="15" hidden="false" customHeight="false" outlineLevel="0" collapsed="false">
      <c r="A125" s="5" t="s">
        <v>41</v>
      </c>
      <c r="B125" s="5" t="n">
        <v>7</v>
      </c>
      <c r="C125" s="5" t="s">
        <v>24</v>
      </c>
      <c r="D125" s="5" t="s">
        <v>29</v>
      </c>
      <c r="E125" s="6" t="n">
        <v>60000</v>
      </c>
      <c r="F125" s="6" t="n">
        <v>58600</v>
      </c>
      <c r="G125" s="7" t="n">
        <f aca="false">F125-E125</f>
        <v>-1400</v>
      </c>
      <c r="H125" s="8" t="n">
        <f aca="false">IFERROR(G125/E125,0)</f>
        <v>-0.0233333333333333</v>
      </c>
      <c r="I125" s="5" t="str">
        <f aca="false">IF(AND(D125="Mantenimiento",G125&gt;50000),"REVISAR - Excede política","OK")</f>
        <v>OK</v>
      </c>
      <c r="J125" s="5" t="s">
        <v>26</v>
      </c>
    </row>
    <row r="126" customFormat="false" ht="15" hidden="false" customHeight="false" outlineLevel="0" collapsed="false">
      <c r="A126" s="5" t="s">
        <v>41</v>
      </c>
      <c r="B126" s="5" t="n">
        <v>7</v>
      </c>
      <c r="C126" s="5" t="s">
        <v>24</v>
      </c>
      <c r="D126" s="5" t="s">
        <v>30</v>
      </c>
      <c r="E126" s="6" t="n">
        <v>45000</v>
      </c>
      <c r="F126" s="6" t="n">
        <v>42600</v>
      </c>
      <c r="G126" s="7" t="n">
        <f aca="false">F126-E126</f>
        <v>-2400</v>
      </c>
      <c r="H126" s="8" t="n">
        <f aca="false">IFERROR(G126/E126,0)</f>
        <v>-0.0533333333333333</v>
      </c>
      <c r="I126" s="5" t="str">
        <f aca="false">IF(AND(D126="Mantenimiento",G126&gt;50000),"REVISAR - Excede política","OK")</f>
        <v>OK</v>
      </c>
      <c r="J126" s="5" t="s">
        <v>26</v>
      </c>
    </row>
    <row r="127" customFormat="false" ht="15" hidden="false" customHeight="false" outlineLevel="0" collapsed="false">
      <c r="A127" s="5" t="s">
        <v>41</v>
      </c>
      <c r="B127" s="5" t="n">
        <v>7</v>
      </c>
      <c r="C127" s="5" t="s">
        <v>31</v>
      </c>
      <c r="D127" s="5" t="s">
        <v>25</v>
      </c>
      <c r="E127" s="6" t="n">
        <v>540000</v>
      </c>
      <c r="F127" s="6" t="n">
        <v>564500</v>
      </c>
      <c r="G127" s="7" t="n">
        <f aca="false">F127-E127</f>
        <v>24500</v>
      </c>
      <c r="H127" s="8" t="n">
        <f aca="false">IFERROR(G127/E127,0)</f>
        <v>0.0453703703703704</v>
      </c>
      <c r="I127" s="5" t="str">
        <f aca="false">IF(AND(D127="Mantenimiento",G127&gt;50000),"REVISAR - Excede política","OK")</f>
        <v>OK</v>
      </c>
      <c r="J127" s="5" t="s">
        <v>32</v>
      </c>
    </row>
    <row r="128" customFormat="false" ht="15" hidden="false" customHeight="false" outlineLevel="0" collapsed="false">
      <c r="A128" s="5" t="s">
        <v>41</v>
      </c>
      <c r="B128" s="5" t="n">
        <v>7</v>
      </c>
      <c r="C128" s="5" t="s">
        <v>31</v>
      </c>
      <c r="D128" s="5" t="s">
        <v>27</v>
      </c>
      <c r="E128" s="6" t="n">
        <v>280000</v>
      </c>
      <c r="F128" s="6" t="n">
        <v>295000</v>
      </c>
      <c r="G128" s="7" t="n">
        <f aca="false">F128-E128</f>
        <v>15000</v>
      </c>
      <c r="H128" s="8" t="n">
        <f aca="false">IFERROR(G128/E128,0)</f>
        <v>0.0535714285714286</v>
      </c>
      <c r="I128" s="5" t="str">
        <f aca="false">IF(AND(D128="Mantenimiento",G128&gt;50000),"REVISAR - Excede política","OK")</f>
        <v>OK</v>
      </c>
      <c r="J128" s="5" t="s">
        <v>32</v>
      </c>
    </row>
    <row r="129" customFormat="false" ht="15" hidden="false" customHeight="false" outlineLevel="0" collapsed="false">
      <c r="A129" s="5" t="s">
        <v>41</v>
      </c>
      <c r="B129" s="5" t="n">
        <v>7</v>
      </c>
      <c r="C129" s="5" t="s">
        <v>31</v>
      </c>
      <c r="D129" s="5" t="s">
        <v>28</v>
      </c>
      <c r="E129" s="6" t="n">
        <v>88000</v>
      </c>
      <c r="F129" s="6" t="n">
        <v>83600</v>
      </c>
      <c r="G129" s="7" t="n">
        <f aca="false">F129-E129</f>
        <v>-4400</v>
      </c>
      <c r="H129" s="8" t="n">
        <f aca="false">IFERROR(G129/E129,0)</f>
        <v>-0.05</v>
      </c>
      <c r="I129" s="5" t="str">
        <f aca="false">IF(AND(D129="Mantenimiento",G129&gt;50000),"REVISAR - Excede política","OK")</f>
        <v>OK</v>
      </c>
      <c r="J129" s="5" t="s">
        <v>32</v>
      </c>
    </row>
    <row r="130" customFormat="false" ht="15" hidden="false" customHeight="false" outlineLevel="0" collapsed="false">
      <c r="A130" s="5" t="s">
        <v>41</v>
      </c>
      <c r="B130" s="5" t="n">
        <v>7</v>
      </c>
      <c r="C130" s="5" t="s">
        <v>31</v>
      </c>
      <c r="D130" s="5" t="s">
        <v>29</v>
      </c>
      <c r="E130" s="6" t="n">
        <v>70000</v>
      </c>
      <c r="F130" s="6" t="n">
        <v>83000</v>
      </c>
      <c r="G130" s="7" t="n">
        <f aca="false">F130-E130</f>
        <v>13000</v>
      </c>
      <c r="H130" s="8" t="n">
        <f aca="false">IFERROR(G130/E130,0)</f>
        <v>0.185714285714286</v>
      </c>
      <c r="I130" s="5" t="str">
        <f aca="false">IF(AND(D130="Mantenimiento",G130&gt;50000),"REVISAR - Excede política","OK")</f>
        <v>OK</v>
      </c>
      <c r="J130" s="5" t="s">
        <v>32</v>
      </c>
    </row>
    <row r="131" customFormat="false" ht="15" hidden="false" customHeight="false" outlineLevel="0" collapsed="false">
      <c r="A131" s="5" t="s">
        <v>41</v>
      </c>
      <c r="B131" s="5" t="n">
        <v>7</v>
      </c>
      <c r="C131" s="5" t="s">
        <v>31</v>
      </c>
      <c r="D131" s="5" t="s">
        <v>30</v>
      </c>
      <c r="E131" s="6" t="n">
        <v>40000</v>
      </c>
      <c r="F131" s="6" t="n">
        <v>41300</v>
      </c>
      <c r="G131" s="7" t="n">
        <f aca="false">F131-E131</f>
        <v>1300</v>
      </c>
      <c r="H131" s="8" t="n">
        <f aca="false">IFERROR(G131/E131,0)</f>
        <v>0.0325</v>
      </c>
      <c r="I131" s="5" t="str">
        <f aca="false">IF(AND(D131="Mantenimiento",G131&gt;50000),"REVISAR - Excede política","OK")</f>
        <v>OK</v>
      </c>
      <c r="J131" s="5" t="s">
        <v>32</v>
      </c>
    </row>
    <row r="132" customFormat="false" ht="15" hidden="false" customHeight="false" outlineLevel="0" collapsed="false">
      <c r="A132" s="5" t="s">
        <v>41</v>
      </c>
      <c r="B132" s="5" t="n">
        <v>7</v>
      </c>
      <c r="C132" s="5" t="s">
        <v>29</v>
      </c>
      <c r="D132" s="5" t="s">
        <v>25</v>
      </c>
      <c r="E132" s="6" t="n">
        <v>35000</v>
      </c>
      <c r="F132" s="6" t="n">
        <v>36100</v>
      </c>
      <c r="G132" s="7" t="n">
        <f aca="false">F132-E132</f>
        <v>1100</v>
      </c>
      <c r="H132" s="8" t="n">
        <f aca="false">IFERROR(G132/E132,0)</f>
        <v>0.0314285714285714</v>
      </c>
      <c r="I132" s="5" t="str">
        <f aca="false">IF(AND(D132="Mantenimiento",G132&gt;50000),"REVISAR - Excede política","OK")</f>
        <v>OK</v>
      </c>
      <c r="J132" s="5" t="s">
        <v>33</v>
      </c>
    </row>
    <row r="133" customFormat="false" ht="15" hidden="false" customHeight="false" outlineLevel="0" collapsed="false">
      <c r="A133" s="5" t="s">
        <v>41</v>
      </c>
      <c r="B133" s="5" t="n">
        <v>7</v>
      </c>
      <c r="C133" s="5" t="s">
        <v>29</v>
      </c>
      <c r="D133" s="5" t="s">
        <v>27</v>
      </c>
      <c r="E133" s="6" t="n">
        <v>150000</v>
      </c>
      <c r="F133" s="6" t="n">
        <v>143300</v>
      </c>
      <c r="G133" s="7" t="n">
        <f aca="false">F133-E133</f>
        <v>-6700</v>
      </c>
      <c r="H133" s="8" t="n">
        <f aca="false">IFERROR(G133/E133,0)</f>
        <v>-0.0446666666666667</v>
      </c>
      <c r="I133" s="5" t="str">
        <f aca="false">IF(AND(D133="Mantenimiento",G133&gt;50000),"REVISAR - Excede política","OK")</f>
        <v>OK</v>
      </c>
      <c r="J133" s="5" t="s">
        <v>33</v>
      </c>
    </row>
    <row r="134" customFormat="false" ht="15" hidden="false" customHeight="false" outlineLevel="0" collapsed="false">
      <c r="A134" s="5" t="s">
        <v>41</v>
      </c>
      <c r="B134" s="5" t="n">
        <v>7</v>
      </c>
      <c r="C134" s="5" t="s">
        <v>29</v>
      </c>
      <c r="D134" s="5" t="s">
        <v>28</v>
      </c>
      <c r="E134" s="6" t="n">
        <v>20000</v>
      </c>
      <c r="F134" s="6" t="n">
        <v>19900</v>
      </c>
      <c r="G134" s="7" t="n">
        <f aca="false">F134-E134</f>
        <v>-100</v>
      </c>
      <c r="H134" s="8" t="n">
        <f aca="false">IFERROR(G134/E134,0)</f>
        <v>-0.005</v>
      </c>
      <c r="I134" s="5" t="str">
        <f aca="false">IF(AND(D134="Mantenimiento",G134&gt;50000),"REVISAR - Excede política","OK")</f>
        <v>OK</v>
      </c>
      <c r="J134" s="5" t="s">
        <v>33</v>
      </c>
    </row>
    <row r="135" customFormat="false" ht="15" hidden="false" customHeight="false" outlineLevel="0" collapsed="false">
      <c r="A135" s="5" t="s">
        <v>41</v>
      </c>
      <c r="B135" s="5" t="n">
        <v>7</v>
      </c>
      <c r="C135" s="5" t="s">
        <v>29</v>
      </c>
      <c r="D135" s="5" t="s">
        <v>29</v>
      </c>
      <c r="E135" s="6" t="n">
        <v>85000</v>
      </c>
      <c r="F135" s="6" t="n">
        <v>144500</v>
      </c>
      <c r="G135" s="7" t="n">
        <f aca="false">F135-E135</f>
        <v>59500</v>
      </c>
      <c r="H135" s="8" t="n">
        <f aca="false">IFERROR(G135/E135,0)</f>
        <v>0.7</v>
      </c>
      <c r="I135" s="5" t="str">
        <f aca="false">IF(AND(D135="Mantenimiento",G135&gt;50000),"REVISAR - Excede política","OK")</f>
        <v>REVISAR - Excede política</v>
      </c>
      <c r="J135" s="5" t="s">
        <v>33</v>
      </c>
    </row>
    <row r="136" customFormat="false" ht="15" hidden="false" customHeight="false" outlineLevel="0" collapsed="false">
      <c r="A136" s="5" t="s">
        <v>41</v>
      </c>
      <c r="B136" s="5" t="n">
        <v>7</v>
      </c>
      <c r="C136" s="5" t="s">
        <v>29</v>
      </c>
      <c r="D136" s="5" t="s">
        <v>30</v>
      </c>
      <c r="E136" s="6" t="n">
        <v>15000</v>
      </c>
      <c r="F136" s="6" t="n">
        <v>14600</v>
      </c>
      <c r="G136" s="7" t="n">
        <f aca="false">F136-E136</f>
        <v>-400</v>
      </c>
      <c r="H136" s="8" t="n">
        <f aca="false">IFERROR(G136/E136,0)</f>
        <v>-0.0266666666666667</v>
      </c>
      <c r="I136" s="5" t="str">
        <f aca="false">IF(AND(D136="Mantenimiento",G136&gt;50000),"REVISAR - Excede política","OK")</f>
        <v>OK</v>
      </c>
      <c r="J136" s="5" t="s">
        <v>33</v>
      </c>
    </row>
    <row r="137" customFormat="false" ht="15" hidden="false" customHeight="false" outlineLevel="0" collapsed="false">
      <c r="A137" s="5" t="s">
        <v>41</v>
      </c>
      <c r="B137" s="5" t="n">
        <v>7</v>
      </c>
      <c r="C137" s="5" t="s">
        <v>34</v>
      </c>
      <c r="D137" s="5" t="s">
        <v>25</v>
      </c>
      <c r="E137" s="6" t="n">
        <v>10000</v>
      </c>
      <c r="F137" s="6" t="n">
        <v>10400</v>
      </c>
      <c r="G137" s="7" t="n">
        <f aca="false">F137-E137</f>
        <v>400</v>
      </c>
      <c r="H137" s="8" t="n">
        <f aca="false">IFERROR(G137/E137,0)</f>
        <v>0.04</v>
      </c>
      <c r="I137" s="5" t="str">
        <f aca="false">IF(AND(D137="Mantenimiento",G137&gt;50000),"REVISAR - Excede política","OK")</f>
        <v>OK</v>
      </c>
      <c r="J137" s="5" t="s">
        <v>35</v>
      </c>
    </row>
    <row r="138" customFormat="false" ht="15" hidden="false" customHeight="false" outlineLevel="0" collapsed="false">
      <c r="A138" s="5" t="s">
        <v>41</v>
      </c>
      <c r="B138" s="5" t="n">
        <v>7</v>
      </c>
      <c r="C138" s="5" t="s">
        <v>34</v>
      </c>
      <c r="D138" s="5" t="s">
        <v>27</v>
      </c>
      <c r="E138" s="6" t="n">
        <v>120000</v>
      </c>
      <c r="F138" s="6" t="n">
        <v>118900</v>
      </c>
      <c r="G138" s="7" t="n">
        <f aca="false">F138-E138</f>
        <v>-1100</v>
      </c>
      <c r="H138" s="8" t="n">
        <f aca="false">IFERROR(G138/E138,0)</f>
        <v>-0.00916666666666667</v>
      </c>
      <c r="I138" s="5" t="str">
        <f aca="false">IF(AND(D138="Mantenimiento",G138&gt;50000),"REVISAR - Excede política","OK")</f>
        <v>OK</v>
      </c>
      <c r="J138" s="5" t="s">
        <v>35</v>
      </c>
    </row>
    <row r="139" customFormat="false" ht="15" hidden="false" customHeight="false" outlineLevel="0" collapsed="false">
      <c r="A139" s="5" t="s">
        <v>41</v>
      </c>
      <c r="B139" s="5" t="n">
        <v>7</v>
      </c>
      <c r="C139" s="5" t="s">
        <v>34</v>
      </c>
      <c r="D139" s="5" t="s">
        <v>28</v>
      </c>
      <c r="E139" s="6" t="n">
        <v>18000</v>
      </c>
      <c r="F139" s="6" t="n">
        <v>17400</v>
      </c>
      <c r="G139" s="7" t="n">
        <f aca="false">F139-E139</f>
        <v>-600</v>
      </c>
      <c r="H139" s="8" t="n">
        <f aca="false">IFERROR(G139/E139,0)</f>
        <v>-0.0333333333333333</v>
      </c>
      <c r="I139" s="5" t="str">
        <f aca="false">IF(AND(D139="Mantenimiento",G139&gt;50000),"REVISAR - Excede política","OK")</f>
        <v>OK</v>
      </c>
      <c r="J139" s="5" t="s">
        <v>35</v>
      </c>
    </row>
    <row r="140" customFormat="false" ht="15" hidden="false" customHeight="false" outlineLevel="0" collapsed="false">
      <c r="A140" s="5" t="s">
        <v>41</v>
      </c>
      <c r="B140" s="5" t="n">
        <v>7</v>
      </c>
      <c r="C140" s="5" t="s">
        <v>34</v>
      </c>
      <c r="D140" s="5" t="s">
        <v>29</v>
      </c>
      <c r="E140" s="6" t="n">
        <v>25000</v>
      </c>
      <c r="F140" s="6" t="n">
        <v>25100</v>
      </c>
      <c r="G140" s="7" t="n">
        <f aca="false">F140-E140</f>
        <v>100</v>
      </c>
      <c r="H140" s="8" t="n">
        <f aca="false">IFERROR(G140/E140,0)</f>
        <v>0.004</v>
      </c>
      <c r="I140" s="5" t="str">
        <f aca="false">IF(AND(D140="Mantenimiento",G140&gt;50000),"REVISAR - Excede política","OK")</f>
        <v>OK</v>
      </c>
      <c r="J140" s="5" t="s">
        <v>35</v>
      </c>
    </row>
    <row r="141" customFormat="false" ht="15" hidden="false" customHeight="false" outlineLevel="0" collapsed="false">
      <c r="A141" s="5" t="s">
        <v>41</v>
      </c>
      <c r="B141" s="5" t="n">
        <v>7</v>
      </c>
      <c r="C141" s="5" t="s">
        <v>34</v>
      </c>
      <c r="D141" s="5" t="s">
        <v>30</v>
      </c>
      <c r="E141" s="6" t="n">
        <v>210000</v>
      </c>
      <c r="F141" s="6" t="n">
        <v>215800</v>
      </c>
      <c r="G141" s="7" t="n">
        <f aca="false">F141-E141</f>
        <v>5800</v>
      </c>
      <c r="H141" s="8" t="n">
        <f aca="false">IFERROR(G141/E141,0)</f>
        <v>0.0276190476190476</v>
      </c>
      <c r="I141" s="5" t="str">
        <f aca="false">IF(AND(D141="Mantenimiento",G141&gt;50000),"REVISAR - Excede política","OK")</f>
        <v>OK</v>
      </c>
      <c r="J141" s="5" t="s">
        <v>35</v>
      </c>
    </row>
    <row r="142" customFormat="false" ht="15" hidden="false" customHeight="false" outlineLevel="0" collapsed="false">
      <c r="A142" s="5" t="s">
        <v>42</v>
      </c>
      <c r="B142" s="5" t="n">
        <v>8</v>
      </c>
      <c r="C142" s="5" t="s">
        <v>24</v>
      </c>
      <c r="D142" s="5" t="s">
        <v>25</v>
      </c>
      <c r="E142" s="6" t="n">
        <v>620000</v>
      </c>
      <c r="F142" s="6" t="n">
        <v>575800</v>
      </c>
      <c r="G142" s="7" t="n">
        <f aca="false">F142-E142</f>
        <v>-44200</v>
      </c>
      <c r="H142" s="8" t="n">
        <f aca="false">IFERROR(G142/E142,0)</f>
        <v>-0.0712903225806452</v>
      </c>
      <c r="I142" s="5" t="str">
        <f aca="false">IF(AND(D142="Mantenimiento",G142&gt;50000),"REVISAR - Excede política","OK")</f>
        <v>OK</v>
      </c>
      <c r="J142" s="5" t="s">
        <v>26</v>
      </c>
    </row>
    <row r="143" customFormat="false" ht="15" hidden="false" customHeight="false" outlineLevel="0" collapsed="false">
      <c r="A143" s="5" t="s">
        <v>42</v>
      </c>
      <c r="B143" s="5" t="n">
        <v>8</v>
      </c>
      <c r="C143" s="5" t="s">
        <v>24</v>
      </c>
      <c r="D143" s="5" t="s">
        <v>27</v>
      </c>
      <c r="E143" s="6" t="n">
        <v>310000</v>
      </c>
      <c r="F143" s="6" t="n">
        <v>328400</v>
      </c>
      <c r="G143" s="7" t="n">
        <f aca="false">F143-E143</f>
        <v>18400</v>
      </c>
      <c r="H143" s="8" t="n">
        <f aca="false">IFERROR(G143/E143,0)</f>
        <v>0.0593548387096774</v>
      </c>
      <c r="I143" s="5" t="str">
        <f aca="false">IF(AND(D143="Mantenimiento",G143&gt;50000),"REVISAR - Excede política","OK")</f>
        <v>OK</v>
      </c>
      <c r="J143" s="5" t="s">
        <v>26</v>
      </c>
    </row>
    <row r="144" customFormat="false" ht="15" hidden="false" customHeight="false" outlineLevel="0" collapsed="false">
      <c r="A144" s="5" t="s">
        <v>42</v>
      </c>
      <c r="B144" s="5" t="n">
        <v>8</v>
      </c>
      <c r="C144" s="5" t="s">
        <v>24</v>
      </c>
      <c r="D144" s="5" t="s">
        <v>28</v>
      </c>
      <c r="E144" s="6" t="n">
        <v>95000</v>
      </c>
      <c r="F144" s="6" t="n">
        <v>96700</v>
      </c>
      <c r="G144" s="7" t="n">
        <f aca="false">F144-E144</f>
        <v>1700</v>
      </c>
      <c r="H144" s="8" t="n">
        <f aca="false">IFERROR(G144/E144,0)</f>
        <v>0.0178947368421053</v>
      </c>
      <c r="I144" s="5" t="str">
        <f aca="false">IF(AND(D144="Mantenimiento",G144&gt;50000),"REVISAR - Excede política","OK")</f>
        <v>OK</v>
      </c>
      <c r="J144" s="5" t="s">
        <v>26</v>
      </c>
    </row>
    <row r="145" customFormat="false" ht="15" hidden="false" customHeight="false" outlineLevel="0" collapsed="false">
      <c r="A145" s="5" t="s">
        <v>42</v>
      </c>
      <c r="B145" s="5" t="n">
        <v>8</v>
      </c>
      <c r="C145" s="5" t="s">
        <v>24</v>
      </c>
      <c r="D145" s="5" t="s">
        <v>29</v>
      </c>
      <c r="E145" s="6" t="n">
        <v>60000</v>
      </c>
      <c r="F145" s="6" t="n">
        <v>59600</v>
      </c>
      <c r="G145" s="7" t="n">
        <f aca="false">F145-E145</f>
        <v>-400</v>
      </c>
      <c r="H145" s="8" t="n">
        <f aca="false">IFERROR(G145/E145,0)</f>
        <v>-0.00666666666666667</v>
      </c>
      <c r="I145" s="5" t="str">
        <f aca="false">IF(AND(D145="Mantenimiento",G145&gt;50000),"REVISAR - Excede política","OK")</f>
        <v>OK</v>
      </c>
      <c r="J145" s="5" t="s">
        <v>26</v>
      </c>
    </row>
    <row r="146" customFormat="false" ht="15" hidden="false" customHeight="false" outlineLevel="0" collapsed="false">
      <c r="A146" s="5" t="s">
        <v>42</v>
      </c>
      <c r="B146" s="5" t="n">
        <v>8</v>
      </c>
      <c r="C146" s="5" t="s">
        <v>24</v>
      </c>
      <c r="D146" s="5" t="s">
        <v>30</v>
      </c>
      <c r="E146" s="6" t="n">
        <v>45000</v>
      </c>
      <c r="F146" s="6" t="n">
        <v>45100</v>
      </c>
      <c r="G146" s="7" t="n">
        <f aca="false">F146-E146</f>
        <v>100</v>
      </c>
      <c r="H146" s="8" t="n">
        <f aca="false">IFERROR(G146/E146,0)</f>
        <v>0.00222222222222222</v>
      </c>
      <c r="I146" s="5" t="str">
        <f aca="false">IF(AND(D146="Mantenimiento",G146&gt;50000),"REVISAR - Excede política","OK")</f>
        <v>OK</v>
      </c>
      <c r="J146" s="5" t="s">
        <v>26</v>
      </c>
    </row>
    <row r="147" customFormat="false" ht="15" hidden="false" customHeight="false" outlineLevel="0" collapsed="false">
      <c r="A147" s="5" t="s">
        <v>42</v>
      </c>
      <c r="B147" s="5" t="n">
        <v>8</v>
      </c>
      <c r="C147" s="5" t="s">
        <v>31</v>
      </c>
      <c r="D147" s="5" t="s">
        <v>25</v>
      </c>
      <c r="E147" s="6" t="n">
        <v>540000</v>
      </c>
      <c r="F147" s="6" t="n">
        <v>515400</v>
      </c>
      <c r="G147" s="7" t="n">
        <f aca="false">F147-E147</f>
        <v>-24600</v>
      </c>
      <c r="H147" s="8" t="n">
        <f aca="false">IFERROR(G147/E147,0)</f>
        <v>-0.0455555555555556</v>
      </c>
      <c r="I147" s="5" t="str">
        <f aca="false">IF(AND(D147="Mantenimiento",G147&gt;50000),"REVISAR - Excede política","OK")</f>
        <v>OK</v>
      </c>
      <c r="J147" s="5" t="s">
        <v>32</v>
      </c>
    </row>
    <row r="148" customFormat="false" ht="15" hidden="false" customHeight="false" outlineLevel="0" collapsed="false">
      <c r="A148" s="5" t="s">
        <v>42</v>
      </c>
      <c r="B148" s="5" t="n">
        <v>8</v>
      </c>
      <c r="C148" s="5" t="s">
        <v>31</v>
      </c>
      <c r="D148" s="5" t="s">
        <v>27</v>
      </c>
      <c r="E148" s="6" t="n">
        <v>280000</v>
      </c>
      <c r="F148" s="6" t="n">
        <v>270700</v>
      </c>
      <c r="G148" s="7" t="n">
        <f aca="false">F148-E148</f>
        <v>-9300</v>
      </c>
      <c r="H148" s="8" t="n">
        <f aca="false">IFERROR(G148/E148,0)</f>
        <v>-0.0332142857142857</v>
      </c>
      <c r="I148" s="5" t="str">
        <f aca="false">IF(AND(D148="Mantenimiento",G148&gt;50000),"REVISAR - Excede política","OK")</f>
        <v>OK</v>
      </c>
      <c r="J148" s="5" t="s">
        <v>32</v>
      </c>
    </row>
    <row r="149" customFormat="false" ht="15" hidden="false" customHeight="false" outlineLevel="0" collapsed="false">
      <c r="A149" s="5" t="s">
        <v>42</v>
      </c>
      <c r="B149" s="5" t="n">
        <v>8</v>
      </c>
      <c r="C149" s="5" t="s">
        <v>31</v>
      </c>
      <c r="D149" s="5" t="s">
        <v>28</v>
      </c>
      <c r="E149" s="6" t="n">
        <v>88000</v>
      </c>
      <c r="F149" s="6" t="n">
        <v>86300</v>
      </c>
      <c r="G149" s="7" t="n">
        <f aca="false">F149-E149</f>
        <v>-1700</v>
      </c>
      <c r="H149" s="8" t="n">
        <f aca="false">IFERROR(G149/E149,0)</f>
        <v>-0.0193181818181818</v>
      </c>
      <c r="I149" s="5" t="str">
        <f aca="false">IF(AND(D149="Mantenimiento",G149&gt;50000),"REVISAR - Excede política","OK")</f>
        <v>OK</v>
      </c>
      <c r="J149" s="5" t="s">
        <v>32</v>
      </c>
    </row>
    <row r="150" customFormat="false" ht="15" hidden="false" customHeight="false" outlineLevel="0" collapsed="false">
      <c r="A150" s="5" t="s">
        <v>42</v>
      </c>
      <c r="B150" s="5" t="n">
        <v>8</v>
      </c>
      <c r="C150" s="5" t="s">
        <v>31</v>
      </c>
      <c r="D150" s="5" t="s">
        <v>29</v>
      </c>
      <c r="E150" s="6" t="n">
        <v>70000</v>
      </c>
      <c r="F150" s="6" t="n">
        <v>84000</v>
      </c>
      <c r="G150" s="7" t="n">
        <f aca="false">F150-E150</f>
        <v>14000</v>
      </c>
      <c r="H150" s="8" t="n">
        <f aca="false">IFERROR(G150/E150,0)</f>
        <v>0.2</v>
      </c>
      <c r="I150" s="5" t="str">
        <f aca="false">IF(AND(D150="Mantenimiento",G150&gt;50000),"REVISAR - Excede política","OK")</f>
        <v>OK</v>
      </c>
      <c r="J150" s="5" t="s">
        <v>32</v>
      </c>
    </row>
    <row r="151" customFormat="false" ht="15" hidden="false" customHeight="false" outlineLevel="0" collapsed="false">
      <c r="A151" s="5" t="s">
        <v>42</v>
      </c>
      <c r="B151" s="5" t="n">
        <v>8</v>
      </c>
      <c r="C151" s="5" t="s">
        <v>31</v>
      </c>
      <c r="D151" s="5" t="s">
        <v>30</v>
      </c>
      <c r="E151" s="6" t="n">
        <v>40000</v>
      </c>
      <c r="F151" s="6" t="n">
        <v>38700</v>
      </c>
      <c r="G151" s="7" t="n">
        <f aca="false">F151-E151</f>
        <v>-1300</v>
      </c>
      <c r="H151" s="8" t="n">
        <f aca="false">IFERROR(G151/E151,0)</f>
        <v>-0.0325</v>
      </c>
      <c r="I151" s="5" t="str">
        <f aca="false">IF(AND(D151="Mantenimiento",G151&gt;50000),"REVISAR - Excede política","OK")</f>
        <v>OK</v>
      </c>
      <c r="J151" s="5" t="s">
        <v>32</v>
      </c>
    </row>
    <row r="152" customFormat="false" ht="15" hidden="false" customHeight="false" outlineLevel="0" collapsed="false">
      <c r="A152" s="5" t="s">
        <v>42</v>
      </c>
      <c r="B152" s="5" t="n">
        <v>8</v>
      </c>
      <c r="C152" s="5" t="s">
        <v>29</v>
      </c>
      <c r="D152" s="5" t="s">
        <v>25</v>
      </c>
      <c r="E152" s="6" t="n">
        <v>35000</v>
      </c>
      <c r="F152" s="6" t="n">
        <v>33200</v>
      </c>
      <c r="G152" s="7" t="n">
        <f aca="false">F152-E152</f>
        <v>-1800</v>
      </c>
      <c r="H152" s="8" t="n">
        <f aca="false">IFERROR(G152/E152,0)</f>
        <v>-0.0514285714285714</v>
      </c>
      <c r="I152" s="5" t="str">
        <f aca="false">IF(AND(D152="Mantenimiento",G152&gt;50000),"REVISAR - Excede política","OK")</f>
        <v>OK</v>
      </c>
      <c r="J152" s="5" t="s">
        <v>33</v>
      </c>
    </row>
    <row r="153" customFormat="false" ht="15" hidden="false" customHeight="false" outlineLevel="0" collapsed="false">
      <c r="A153" s="5" t="s">
        <v>42</v>
      </c>
      <c r="B153" s="5" t="n">
        <v>8</v>
      </c>
      <c r="C153" s="5" t="s">
        <v>29</v>
      </c>
      <c r="D153" s="5" t="s">
        <v>27</v>
      </c>
      <c r="E153" s="6" t="n">
        <v>150000</v>
      </c>
      <c r="F153" s="6" t="n">
        <v>152400</v>
      </c>
      <c r="G153" s="7" t="n">
        <f aca="false">F153-E153</f>
        <v>2400</v>
      </c>
      <c r="H153" s="8" t="n">
        <f aca="false">IFERROR(G153/E153,0)</f>
        <v>0.016</v>
      </c>
      <c r="I153" s="5" t="str">
        <f aca="false">IF(AND(D153="Mantenimiento",G153&gt;50000),"REVISAR - Excede política","OK")</f>
        <v>OK</v>
      </c>
      <c r="J153" s="5" t="s">
        <v>33</v>
      </c>
    </row>
    <row r="154" customFormat="false" ht="15" hidden="false" customHeight="false" outlineLevel="0" collapsed="false">
      <c r="A154" s="5" t="s">
        <v>42</v>
      </c>
      <c r="B154" s="5" t="n">
        <v>8</v>
      </c>
      <c r="C154" s="5" t="s">
        <v>29</v>
      </c>
      <c r="D154" s="5" t="s">
        <v>28</v>
      </c>
      <c r="E154" s="6" t="n">
        <v>20000</v>
      </c>
      <c r="F154" s="6" t="n">
        <v>19300</v>
      </c>
      <c r="G154" s="7" t="n">
        <f aca="false">F154-E154</f>
        <v>-700</v>
      </c>
      <c r="H154" s="8" t="n">
        <f aca="false">IFERROR(G154/E154,0)</f>
        <v>-0.035</v>
      </c>
      <c r="I154" s="5" t="str">
        <f aca="false">IF(AND(D154="Mantenimiento",G154&gt;50000),"REVISAR - Excede política","OK")</f>
        <v>OK</v>
      </c>
      <c r="J154" s="5" t="s">
        <v>33</v>
      </c>
    </row>
    <row r="155" customFormat="false" ht="15" hidden="false" customHeight="false" outlineLevel="0" collapsed="false">
      <c r="A155" s="5" t="s">
        <v>42</v>
      </c>
      <c r="B155" s="5" t="n">
        <v>8</v>
      </c>
      <c r="C155" s="5" t="s">
        <v>29</v>
      </c>
      <c r="D155" s="5" t="s">
        <v>29</v>
      </c>
      <c r="E155" s="6" t="n">
        <v>85000</v>
      </c>
      <c r="F155" s="6" t="n">
        <v>89100</v>
      </c>
      <c r="G155" s="7" t="n">
        <f aca="false">F155-E155</f>
        <v>4100</v>
      </c>
      <c r="H155" s="8" t="n">
        <f aca="false">IFERROR(G155/E155,0)</f>
        <v>0.0482352941176471</v>
      </c>
      <c r="I155" s="5" t="str">
        <f aca="false">IF(AND(D155="Mantenimiento",G155&gt;50000),"REVISAR - Excede política","OK")</f>
        <v>OK</v>
      </c>
      <c r="J155" s="5" t="s">
        <v>33</v>
      </c>
    </row>
    <row r="156" customFormat="false" ht="15" hidden="false" customHeight="false" outlineLevel="0" collapsed="false">
      <c r="A156" s="5" t="s">
        <v>42</v>
      </c>
      <c r="B156" s="5" t="n">
        <v>8</v>
      </c>
      <c r="C156" s="5" t="s">
        <v>29</v>
      </c>
      <c r="D156" s="5" t="s">
        <v>30</v>
      </c>
      <c r="E156" s="6" t="n">
        <v>15000</v>
      </c>
      <c r="F156" s="6" t="n">
        <v>15600</v>
      </c>
      <c r="G156" s="7" t="n">
        <f aca="false">F156-E156</f>
        <v>600</v>
      </c>
      <c r="H156" s="8" t="n">
        <f aca="false">IFERROR(G156/E156,0)</f>
        <v>0.04</v>
      </c>
      <c r="I156" s="5" t="str">
        <f aca="false">IF(AND(D156="Mantenimiento",G156&gt;50000),"REVISAR - Excede política","OK")</f>
        <v>OK</v>
      </c>
      <c r="J156" s="5" t="s">
        <v>33</v>
      </c>
    </row>
    <row r="157" customFormat="false" ht="15" hidden="false" customHeight="false" outlineLevel="0" collapsed="false">
      <c r="A157" s="5" t="s">
        <v>42</v>
      </c>
      <c r="B157" s="5" t="n">
        <v>8</v>
      </c>
      <c r="C157" s="5" t="s">
        <v>34</v>
      </c>
      <c r="D157" s="5" t="s">
        <v>25</v>
      </c>
      <c r="E157" s="6" t="n">
        <v>10000</v>
      </c>
      <c r="F157" s="6" t="n">
        <v>9500</v>
      </c>
      <c r="G157" s="7" t="n">
        <f aca="false">F157-E157</f>
        <v>-500</v>
      </c>
      <c r="H157" s="8" t="n">
        <f aca="false">IFERROR(G157/E157,0)</f>
        <v>-0.05</v>
      </c>
      <c r="I157" s="5" t="str">
        <f aca="false">IF(AND(D157="Mantenimiento",G157&gt;50000),"REVISAR - Excede política","OK")</f>
        <v>OK</v>
      </c>
      <c r="J157" s="5" t="s">
        <v>35</v>
      </c>
    </row>
    <row r="158" customFormat="false" ht="15" hidden="false" customHeight="false" outlineLevel="0" collapsed="false">
      <c r="A158" s="5" t="s">
        <v>42</v>
      </c>
      <c r="B158" s="5" t="n">
        <v>8</v>
      </c>
      <c r="C158" s="5" t="s">
        <v>34</v>
      </c>
      <c r="D158" s="5" t="s">
        <v>27</v>
      </c>
      <c r="E158" s="6" t="n">
        <v>120000</v>
      </c>
      <c r="F158" s="6" t="n">
        <v>116200</v>
      </c>
      <c r="G158" s="7" t="n">
        <f aca="false">F158-E158</f>
        <v>-3800</v>
      </c>
      <c r="H158" s="8" t="n">
        <f aca="false">IFERROR(G158/E158,0)</f>
        <v>-0.0316666666666667</v>
      </c>
      <c r="I158" s="5" t="str">
        <f aca="false">IF(AND(D158="Mantenimiento",G158&gt;50000),"REVISAR - Excede política","OK")</f>
        <v>OK</v>
      </c>
      <c r="J158" s="5" t="s">
        <v>35</v>
      </c>
    </row>
    <row r="159" customFormat="false" ht="15" hidden="false" customHeight="false" outlineLevel="0" collapsed="false">
      <c r="A159" s="5" t="s">
        <v>42</v>
      </c>
      <c r="B159" s="5" t="n">
        <v>8</v>
      </c>
      <c r="C159" s="5" t="s">
        <v>34</v>
      </c>
      <c r="D159" s="5" t="s">
        <v>28</v>
      </c>
      <c r="E159" s="6" t="n">
        <v>18000</v>
      </c>
      <c r="F159" s="6" t="n">
        <v>18400</v>
      </c>
      <c r="G159" s="7" t="n">
        <f aca="false">F159-E159</f>
        <v>400</v>
      </c>
      <c r="H159" s="8" t="n">
        <f aca="false">IFERROR(G159/E159,0)</f>
        <v>0.0222222222222222</v>
      </c>
      <c r="I159" s="5" t="str">
        <f aca="false">IF(AND(D159="Mantenimiento",G159&gt;50000),"REVISAR - Excede política","OK")</f>
        <v>OK</v>
      </c>
      <c r="J159" s="5" t="s">
        <v>35</v>
      </c>
    </row>
    <row r="160" customFormat="false" ht="15" hidden="false" customHeight="false" outlineLevel="0" collapsed="false">
      <c r="A160" s="5" t="s">
        <v>42</v>
      </c>
      <c r="B160" s="5" t="n">
        <v>8</v>
      </c>
      <c r="C160" s="5" t="s">
        <v>34</v>
      </c>
      <c r="D160" s="5" t="s">
        <v>29</v>
      </c>
      <c r="E160" s="6" t="n">
        <v>25000</v>
      </c>
      <c r="F160" s="6" t="n">
        <v>24100</v>
      </c>
      <c r="G160" s="7" t="n">
        <f aca="false">F160-E160</f>
        <v>-900</v>
      </c>
      <c r="H160" s="8" t="n">
        <f aca="false">IFERROR(G160/E160,0)</f>
        <v>-0.036</v>
      </c>
      <c r="I160" s="5" t="str">
        <f aca="false">IF(AND(D160="Mantenimiento",G160&gt;50000),"REVISAR - Excede política","OK")</f>
        <v>OK</v>
      </c>
      <c r="J160" s="5" t="s">
        <v>35</v>
      </c>
    </row>
    <row r="161" customFormat="false" ht="15" hidden="false" customHeight="false" outlineLevel="0" collapsed="false">
      <c r="A161" s="5" t="s">
        <v>42</v>
      </c>
      <c r="B161" s="5" t="n">
        <v>8</v>
      </c>
      <c r="C161" s="5" t="s">
        <v>34</v>
      </c>
      <c r="D161" s="5" t="s">
        <v>30</v>
      </c>
      <c r="E161" s="6" t="n">
        <v>210000</v>
      </c>
      <c r="F161" s="6" t="n">
        <v>200700</v>
      </c>
      <c r="G161" s="7" t="n">
        <f aca="false">F161-E161</f>
        <v>-9300</v>
      </c>
      <c r="H161" s="8" t="n">
        <f aca="false">IFERROR(G161/E161,0)</f>
        <v>-0.0442857142857143</v>
      </c>
      <c r="I161" s="5" t="str">
        <f aca="false">IF(AND(D161="Mantenimiento",G161&gt;50000),"REVISAR - Excede política","OK")</f>
        <v>OK</v>
      </c>
      <c r="J161" s="5" t="s">
        <v>35</v>
      </c>
    </row>
    <row r="162" customFormat="false" ht="15" hidden="false" customHeight="false" outlineLevel="0" collapsed="false">
      <c r="A162" s="5" t="s">
        <v>43</v>
      </c>
      <c r="B162" s="5" t="n">
        <v>9</v>
      </c>
      <c r="C162" s="5" t="s">
        <v>24</v>
      </c>
      <c r="D162" s="5" t="s">
        <v>25</v>
      </c>
      <c r="E162" s="6" t="n">
        <v>620000</v>
      </c>
      <c r="F162" s="6" t="n">
        <v>585400</v>
      </c>
      <c r="G162" s="7" t="n">
        <f aca="false">F162-E162</f>
        <v>-34600</v>
      </c>
      <c r="H162" s="8" t="n">
        <f aca="false">IFERROR(G162/E162,0)</f>
        <v>-0.0558064516129032</v>
      </c>
      <c r="I162" s="5" t="str">
        <f aca="false">IF(AND(D162="Mantenimiento",G162&gt;50000),"REVISAR - Excede política","OK")</f>
        <v>OK</v>
      </c>
      <c r="J162" s="5" t="s">
        <v>26</v>
      </c>
    </row>
    <row r="163" customFormat="false" ht="15" hidden="false" customHeight="false" outlineLevel="0" collapsed="false">
      <c r="A163" s="5" t="s">
        <v>43</v>
      </c>
      <c r="B163" s="5" t="n">
        <v>9</v>
      </c>
      <c r="C163" s="5" t="s">
        <v>24</v>
      </c>
      <c r="D163" s="5" t="s">
        <v>27</v>
      </c>
      <c r="E163" s="6" t="n">
        <v>310000</v>
      </c>
      <c r="F163" s="6" t="n">
        <v>309000</v>
      </c>
      <c r="G163" s="7" t="n">
        <f aca="false">F163-E163</f>
        <v>-1000</v>
      </c>
      <c r="H163" s="8" t="n">
        <f aca="false">IFERROR(G163/E163,0)</f>
        <v>-0.0032258064516129</v>
      </c>
      <c r="I163" s="5" t="str">
        <f aca="false">IF(AND(D163="Mantenimiento",G163&gt;50000),"REVISAR - Excede política","OK")</f>
        <v>OK</v>
      </c>
      <c r="J163" s="5" t="s">
        <v>26</v>
      </c>
    </row>
    <row r="164" customFormat="false" ht="15" hidden="false" customHeight="false" outlineLevel="0" collapsed="false">
      <c r="A164" s="5" t="s">
        <v>43</v>
      </c>
      <c r="B164" s="5" t="n">
        <v>9</v>
      </c>
      <c r="C164" s="5" t="s">
        <v>24</v>
      </c>
      <c r="D164" s="5" t="s">
        <v>28</v>
      </c>
      <c r="E164" s="6" t="n">
        <v>95000</v>
      </c>
      <c r="F164" s="6" t="n">
        <v>98200</v>
      </c>
      <c r="G164" s="7" t="n">
        <f aca="false">F164-E164</f>
        <v>3200</v>
      </c>
      <c r="H164" s="8" t="n">
        <f aca="false">IFERROR(G164/E164,0)</f>
        <v>0.0336842105263158</v>
      </c>
      <c r="I164" s="5" t="str">
        <f aca="false">IF(AND(D164="Mantenimiento",G164&gt;50000),"REVISAR - Excede política","OK")</f>
        <v>OK</v>
      </c>
      <c r="J164" s="5" t="s">
        <v>26</v>
      </c>
    </row>
    <row r="165" customFormat="false" ht="15" hidden="false" customHeight="false" outlineLevel="0" collapsed="false">
      <c r="A165" s="5" t="s">
        <v>43</v>
      </c>
      <c r="B165" s="5" t="n">
        <v>9</v>
      </c>
      <c r="C165" s="5" t="s">
        <v>24</v>
      </c>
      <c r="D165" s="5" t="s">
        <v>29</v>
      </c>
      <c r="E165" s="6" t="n">
        <v>60000</v>
      </c>
      <c r="F165" s="6" t="n">
        <v>62200</v>
      </c>
      <c r="G165" s="7" t="n">
        <f aca="false">F165-E165</f>
        <v>2200</v>
      </c>
      <c r="H165" s="8" t="n">
        <f aca="false">IFERROR(G165/E165,0)</f>
        <v>0.0366666666666667</v>
      </c>
      <c r="I165" s="5" t="str">
        <f aca="false">IF(AND(D165="Mantenimiento",G165&gt;50000),"REVISAR - Excede política","OK")</f>
        <v>OK</v>
      </c>
      <c r="J165" s="5" t="s">
        <v>26</v>
      </c>
    </row>
    <row r="166" customFormat="false" ht="15" hidden="false" customHeight="false" outlineLevel="0" collapsed="false">
      <c r="A166" s="5" t="s">
        <v>43</v>
      </c>
      <c r="B166" s="5" t="n">
        <v>9</v>
      </c>
      <c r="C166" s="5" t="s">
        <v>24</v>
      </c>
      <c r="D166" s="5" t="s">
        <v>30</v>
      </c>
      <c r="E166" s="6" t="n">
        <v>45000</v>
      </c>
      <c r="F166" s="6" t="n">
        <v>43300</v>
      </c>
      <c r="G166" s="7" t="n">
        <f aca="false">F166-E166</f>
        <v>-1700</v>
      </c>
      <c r="H166" s="8" t="n">
        <f aca="false">IFERROR(G166/E166,0)</f>
        <v>-0.0377777777777778</v>
      </c>
      <c r="I166" s="5" t="str">
        <f aca="false">IF(AND(D166="Mantenimiento",G166&gt;50000),"REVISAR - Excede política","OK")</f>
        <v>OK</v>
      </c>
      <c r="J166" s="5" t="s">
        <v>26</v>
      </c>
    </row>
    <row r="167" customFormat="false" ht="15" hidden="false" customHeight="false" outlineLevel="0" collapsed="false">
      <c r="A167" s="5" t="s">
        <v>43</v>
      </c>
      <c r="B167" s="5" t="n">
        <v>9</v>
      </c>
      <c r="C167" s="5" t="s">
        <v>31</v>
      </c>
      <c r="D167" s="5" t="s">
        <v>25</v>
      </c>
      <c r="E167" s="6" t="n">
        <v>540000</v>
      </c>
      <c r="F167" s="6" t="n">
        <v>513900</v>
      </c>
      <c r="G167" s="7" t="n">
        <f aca="false">F167-E167</f>
        <v>-26100</v>
      </c>
      <c r="H167" s="8" t="n">
        <f aca="false">IFERROR(G167/E167,0)</f>
        <v>-0.0483333333333333</v>
      </c>
      <c r="I167" s="5" t="str">
        <f aca="false">IF(AND(D167="Mantenimiento",G167&gt;50000),"REVISAR - Excede política","OK")</f>
        <v>OK</v>
      </c>
      <c r="J167" s="5" t="s">
        <v>32</v>
      </c>
    </row>
    <row r="168" customFormat="false" ht="15" hidden="false" customHeight="false" outlineLevel="0" collapsed="false">
      <c r="A168" s="5" t="s">
        <v>43</v>
      </c>
      <c r="B168" s="5" t="n">
        <v>9</v>
      </c>
      <c r="C168" s="5" t="s">
        <v>31</v>
      </c>
      <c r="D168" s="5" t="s">
        <v>27</v>
      </c>
      <c r="E168" s="6" t="n">
        <v>280000</v>
      </c>
      <c r="F168" s="6" t="n">
        <v>277700</v>
      </c>
      <c r="G168" s="7" t="n">
        <f aca="false">F168-E168</f>
        <v>-2300</v>
      </c>
      <c r="H168" s="8" t="n">
        <f aca="false">IFERROR(G168/E168,0)</f>
        <v>-0.00821428571428571</v>
      </c>
      <c r="I168" s="5" t="str">
        <f aca="false">IF(AND(D168="Mantenimiento",G168&gt;50000),"REVISAR - Excede política","OK")</f>
        <v>OK</v>
      </c>
      <c r="J168" s="5" t="s">
        <v>32</v>
      </c>
    </row>
    <row r="169" customFormat="false" ht="15" hidden="false" customHeight="false" outlineLevel="0" collapsed="false">
      <c r="A169" s="5" t="s">
        <v>43</v>
      </c>
      <c r="B169" s="5" t="n">
        <v>9</v>
      </c>
      <c r="C169" s="5" t="s">
        <v>31</v>
      </c>
      <c r="D169" s="5" t="s">
        <v>28</v>
      </c>
      <c r="E169" s="6" t="n">
        <v>88000</v>
      </c>
      <c r="F169" s="6" t="n">
        <v>87200</v>
      </c>
      <c r="G169" s="7" t="n">
        <f aca="false">F169-E169</f>
        <v>-800</v>
      </c>
      <c r="H169" s="8" t="n">
        <f aca="false">IFERROR(G169/E169,0)</f>
        <v>-0.00909090909090909</v>
      </c>
      <c r="I169" s="5" t="str">
        <f aca="false">IF(AND(D169="Mantenimiento",G169&gt;50000),"REVISAR - Excede política","OK")</f>
        <v>OK</v>
      </c>
      <c r="J169" s="5" t="s">
        <v>32</v>
      </c>
    </row>
    <row r="170" customFormat="false" ht="15" hidden="false" customHeight="false" outlineLevel="0" collapsed="false">
      <c r="A170" s="5" t="s">
        <v>43</v>
      </c>
      <c r="B170" s="5" t="n">
        <v>9</v>
      </c>
      <c r="C170" s="5" t="s">
        <v>31</v>
      </c>
      <c r="D170" s="5" t="s">
        <v>29</v>
      </c>
      <c r="E170" s="6" t="n">
        <v>70000</v>
      </c>
      <c r="F170" s="6" t="n">
        <v>87200</v>
      </c>
      <c r="G170" s="7" t="n">
        <f aca="false">F170-E170</f>
        <v>17200</v>
      </c>
      <c r="H170" s="8" t="n">
        <f aca="false">IFERROR(G170/E170,0)</f>
        <v>0.245714285714286</v>
      </c>
      <c r="I170" s="5" t="str">
        <f aca="false">IF(AND(D170="Mantenimiento",G170&gt;50000),"REVISAR - Excede política","OK")</f>
        <v>OK</v>
      </c>
      <c r="J170" s="5" t="s">
        <v>32</v>
      </c>
    </row>
    <row r="171" customFormat="false" ht="15" hidden="false" customHeight="false" outlineLevel="0" collapsed="false">
      <c r="A171" s="5" t="s">
        <v>43</v>
      </c>
      <c r="B171" s="5" t="n">
        <v>9</v>
      </c>
      <c r="C171" s="5" t="s">
        <v>31</v>
      </c>
      <c r="D171" s="5" t="s">
        <v>30</v>
      </c>
      <c r="E171" s="6" t="n">
        <v>40000</v>
      </c>
      <c r="F171" s="6" t="n">
        <v>40800</v>
      </c>
      <c r="G171" s="7" t="n">
        <f aca="false">F171-E171</f>
        <v>800</v>
      </c>
      <c r="H171" s="8" t="n">
        <f aca="false">IFERROR(G171/E171,0)</f>
        <v>0.02</v>
      </c>
      <c r="I171" s="5" t="str">
        <f aca="false">IF(AND(D171="Mantenimiento",G171&gt;50000),"REVISAR - Excede política","OK")</f>
        <v>OK</v>
      </c>
      <c r="J171" s="5" t="s">
        <v>32</v>
      </c>
    </row>
    <row r="172" customFormat="false" ht="15" hidden="false" customHeight="false" outlineLevel="0" collapsed="false">
      <c r="A172" s="5" t="s">
        <v>43</v>
      </c>
      <c r="B172" s="5" t="n">
        <v>9</v>
      </c>
      <c r="C172" s="5" t="s">
        <v>29</v>
      </c>
      <c r="D172" s="5" t="s">
        <v>25</v>
      </c>
      <c r="E172" s="6" t="n">
        <v>35000</v>
      </c>
      <c r="F172" s="6" t="n">
        <v>37000</v>
      </c>
      <c r="G172" s="7" t="n">
        <f aca="false">F172-E172</f>
        <v>2000</v>
      </c>
      <c r="H172" s="8" t="n">
        <f aca="false">IFERROR(G172/E172,0)</f>
        <v>0.0571428571428571</v>
      </c>
      <c r="I172" s="5" t="str">
        <f aca="false">IF(AND(D172="Mantenimiento",G172&gt;50000),"REVISAR - Excede política","OK")</f>
        <v>OK</v>
      </c>
      <c r="J172" s="5" t="s">
        <v>33</v>
      </c>
    </row>
    <row r="173" customFormat="false" ht="15" hidden="false" customHeight="false" outlineLevel="0" collapsed="false">
      <c r="A173" s="5" t="s">
        <v>43</v>
      </c>
      <c r="B173" s="5" t="n">
        <v>9</v>
      </c>
      <c r="C173" s="5" t="s">
        <v>29</v>
      </c>
      <c r="D173" s="5" t="s">
        <v>27</v>
      </c>
      <c r="E173" s="6" t="n">
        <v>150000</v>
      </c>
      <c r="F173" s="6" t="n">
        <v>142800</v>
      </c>
      <c r="G173" s="7" t="n">
        <f aca="false">F173-E173</f>
        <v>-7200</v>
      </c>
      <c r="H173" s="8" t="n">
        <f aca="false">IFERROR(G173/E173,0)</f>
        <v>-0.048</v>
      </c>
      <c r="I173" s="5" t="str">
        <f aca="false">IF(AND(D173="Mantenimiento",G173&gt;50000),"REVISAR - Excede política","OK")</f>
        <v>OK</v>
      </c>
      <c r="J173" s="5" t="s">
        <v>33</v>
      </c>
    </row>
    <row r="174" customFormat="false" ht="15" hidden="false" customHeight="false" outlineLevel="0" collapsed="false">
      <c r="A174" s="5" t="s">
        <v>43</v>
      </c>
      <c r="B174" s="5" t="n">
        <v>9</v>
      </c>
      <c r="C174" s="5" t="s">
        <v>29</v>
      </c>
      <c r="D174" s="5" t="s">
        <v>28</v>
      </c>
      <c r="E174" s="6" t="n">
        <v>20000</v>
      </c>
      <c r="F174" s="6" t="n">
        <v>19800</v>
      </c>
      <c r="G174" s="7" t="n">
        <f aca="false">F174-E174</f>
        <v>-200</v>
      </c>
      <c r="H174" s="8" t="n">
        <f aca="false">IFERROR(G174/E174,0)</f>
        <v>-0.01</v>
      </c>
      <c r="I174" s="5" t="str">
        <f aca="false">IF(AND(D174="Mantenimiento",G174&gt;50000),"REVISAR - Excede política","OK")</f>
        <v>OK</v>
      </c>
      <c r="J174" s="5" t="s">
        <v>33</v>
      </c>
    </row>
    <row r="175" customFormat="false" ht="15" hidden="false" customHeight="false" outlineLevel="0" collapsed="false">
      <c r="A175" s="5" t="s">
        <v>43</v>
      </c>
      <c r="B175" s="5" t="n">
        <v>9</v>
      </c>
      <c r="C175" s="5" t="s">
        <v>29</v>
      </c>
      <c r="D175" s="5" t="s">
        <v>29</v>
      </c>
      <c r="E175" s="6" t="n">
        <v>85000</v>
      </c>
      <c r="F175" s="6" t="n">
        <v>83400</v>
      </c>
      <c r="G175" s="7" t="n">
        <f aca="false">F175-E175</f>
        <v>-1600</v>
      </c>
      <c r="H175" s="8" t="n">
        <f aca="false">IFERROR(G175/E175,0)</f>
        <v>-0.0188235294117647</v>
      </c>
      <c r="I175" s="5" t="str">
        <f aca="false">IF(AND(D175="Mantenimiento",G175&gt;50000),"REVISAR - Excede política","OK")</f>
        <v>OK</v>
      </c>
      <c r="J175" s="5" t="s">
        <v>33</v>
      </c>
    </row>
    <row r="176" customFormat="false" ht="15" hidden="false" customHeight="false" outlineLevel="0" collapsed="false">
      <c r="A176" s="5" t="s">
        <v>43</v>
      </c>
      <c r="B176" s="5" t="n">
        <v>9</v>
      </c>
      <c r="C176" s="5" t="s">
        <v>29</v>
      </c>
      <c r="D176" s="5" t="s">
        <v>30</v>
      </c>
      <c r="E176" s="6" t="n">
        <v>15000</v>
      </c>
      <c r="F176" s="6" t="n">
        <v>15700</v>
      </c>
      <c r="G176" s="7" t="n">
        <f aca="false">F176-E176</f>
        <v>700</v>
      </c>
      <c r="H176" s="8" t="n">
        <f aca="false">IFERROR(G176/E176,0)</f>
        <v>0.0466666666666667</v>
      </c>
      <c r="I176" s="5" t="str">
        <f aca="false">IF(AND(D176="Mantenimiento",G176&gt;50000),"REVISAR - Excede política","OK")</f>
        <v>OK</v>
      </c>
      <c r="J176" s="5" t="s">
        <v>33</v>
      </c>
    </row>
    <row r="177" customFormat="false" ht="15" hidden="false" customHeight="false" outlineLevel="0" collapsed="false">
      <c r="A177" s="5" t="s">
        <v>43</v>
      </c>
      <c r="B177" s="5" t="n">
        <v>9</v>
      </c>
      <c r="C177" s="5" t="s">
        <v>34</v>
      </c>
      <c r="D177" s="5" t="s">
        <v>25</v>
      </c>
      <c r="E177" s="6" t="n">
        <v>10000</v>
      </c>
      <c r="F177" s="6" t="n">
        <v>9700</v>
      </c>
      <c r="G177" s="7" t="n">
        <f aca="false">F177-E177</f>
        <v>-300</v>
      </c>
      <c r="H177" s="8" t="n">
        <f aca="false">IFERROR(G177/E177,0)</f>
        <v>-0.03</v>
      </c>
      <c r="I177" s="5" t="str">
        <f aca="false">IF(AND(D177="Mantenimiento",G177&gt;50000),"REVISAR - Excede política","OK")</f>
        <v>OK</v>
      </c>
      <c r="J177" s="5" t="s">
        <v>35</v>
      </c>
    </row>
    <row r="178" customFormat="false" ht="15" hidden="false" customHeight="false" outlineLevel="0" collapsed="false">
      <c r="A178" s="5" t="s">
        <v>43</v>
      </c>
      <c r="B178" s="5" t="n">
        <v>9</v>
      </c>
      <c r="C178" s="5" t="s">
        <v>34</v>
      </c>
      <c r="D178" s="5" t="s">
        <v>27</v>
      </c>
      <c r="E178" s="6" t="n">
        <v>120000</v>
      </c>
      <c r="F178" s="6" t="n">
        <v>115500</v>
      </c>
      <c r="G178" s="7" t="n">
        <f aca="false">F178-E178</f>
        <v>-4500</v>
      </c>
      <c r="H178" s="8" t="n">
        <f aca="false">IFERROR(G178/E178,0)</f>
        <v>-0.0375</v>
      </c>
      <c r="I178" s="5" t="str">
        <f aca="false">IF(AND(D178="Mantenimiento",G178&gt;50000),"REVISAR - Excede política","OK")</f>
        <v>OK</v>
      </c>
      <c r="J178" s="5" t="s">
        <v>35</v>
      </c>
    </row>
    <row r="179" customFormat="false" ht="15" hidden="false" customHeight="false" outlineLevel="0" collapsed="false">
      <c r="A179" s="5" t="s">
        <v>43</v>
      </c>
      <c r="B179" s="5" t="n">
        <v>9</v>
      </c>
      <c r="C179" s="5" t="s">
        <v>34</v>
      </c>
      <c r="D179" s="5" t="s">
        <v>28</v>
      </c>
      <c r="E179" s="6" t="n">
        <v>18000</v>
      </c>
      <c r="F179" s="6" t="n">
        <v>17900</v>
      </c>
      <c r="G179" s="7" t="n">
        <f aca="false">F179-E179</f>
        <v>-100</v>
      </c>
      <c r="H179" s="8" t="n">
        <f aca="false">IFERROR(G179/E179,0)</f>
        <v>-0.00555555555555556</v>
      </c>
      <c r="I179" s="5" t="str">
        <f aca="false">IF(AND(D179="Mantenimiento",G179&gt;50000),"REVISAR - Excede política","OK")</f>
        <v>OK</v>
      </c>
      <c r="J179" s="5" t="s">
        <v>35</v>
      </c>
    </row>
    <row r="180" customFormat="false" ht="15" hidden="false" customHeight="false" outlineLevel="0" collapsed="false">
      <c r="A180" s="5" t="s">
        <v>43</v>
      </c>
      <c r="B180" s="5" t="n">
        <v>9</v>
      </c>
      <c r="C180" s="5" t="s">
        <v>34</v>
      </c>
      <c r="D180" s="5" t="s">
        <v>29</v>
      </c>
      <c r="E180" s="6" t="n">
        <v>25000</v>
      </c>
      <c r="F180" s="6" t="n">
        <v>24800</v>
      </c>
      <c r="G180" s="7" t="n">
        <f aca="false">F180-E180</f>
        <v>-200</v>
      </c>
      <c r="H180" s="8" t="n">
        <f aca="false">IFERROR(G180/E180,0)</f>
        <v>-0.008</v>
      </c>
      <c r="I180" s="5" t="str">
        <f aca="false">IF(AND(D180="Mantenimiento",G180&gt;50000),"REVISAR - Excede política","OK")</f>
        <v>OK</v>
      </c>
      <c r="J180" s="5" t="s">
        <v>35</v>
      </c>
    </row>
    <row r="181" customFormat="false" ht="15" hidden="false" customHeight="false" outlineLevel="0" collapsed="false">
      <c r="A181" s="5" t="s">
        <v>43</v>
      </c>
      <c r="B181" s="5" t="n">
        <v>9</v>
      </c>
      <c r="C181" s="5" t="s">
        <v>34</v>
      </c>
      <c r="D181" s="5" t="s">
        <v>30</v>
      </c>
      <c r="E181" s="6" t="n">
        <v>210000</v>
      </c>
      <c r="F181" s="6" t="n">
        <v>204400</v>
      </c>
      <c r="G181" s="7" t="n">
        <f aca="false">F181-E181</f>
        <v>-5600</v>
      </c>
      <c r="H181" s="8" t="n">
        <f aca="false">IFERROR(G181/E181,0)</f>
        <v>-0.0266666666666667</v>
      </c>
      <c r="I181" s="5" t="str">
        <f aca="false">IF(AND(D181="Mantenimiento",G181&gt;50000),"REVISAR - Excede política","OK")</f>
        <v>OK</v>
      </c>
      <c r="J181" s="5" t="s">
        <v>35</v>
      </c>
    </row>
    <row r="182" customFormat="false" ht="15" hidden="false" customHeight="false" outlineLevel="0" collapsed="false">
      <c r="A182" s="5" t="s">
        <v>44</v>
      </c>
      <c r="B182" s="5" t="n">
        <v>10</v>
      </c>
      <c r="C182" s="5" t="s">
        <v>24</v>
      </c>
      <c r="D182" s="5" t="s">
        <v>25</v>
      </c>
      <c r="E182" s="6" t="n">
        <v>620000</v>
      </c>
      <c r="F182" s="6" t="n">
        <v>598500</v>
      </c>
      <c r="G182" s="7" t="n">
        <f aca="false">F182-E182</f>
        <v>-21500</v>
      </c>
      <c r="H182" s="8" t="n">
        <f aca="false">IFERROR(G182/E182,0)</f>
        <v>-0.0346774193548387</v>
      </c>
      <c r="I182" s="5" t="str">
        <f aca="false">IF(AND(D182="Mantenimiento",G182&gt;50000),"REVISAR - Excede política","OK")</f>
        <v>OK</v>
      </c>
      <c r="J182" s="5" t="s">
        <v>26</v>
      </c>
    </row>
    <row r="183" customFormat="false" ht="15" hidden="false" customHeight="false" outlineLevel="0" collapsed="false">
      <c r="A183" s="5" t="s">
        <v>44</v>
      </c>
      <c r="B183" s="5" t="n">
        <v>10</v>
      </c>
      <c r="C183" s="5" t="s">
        <v>24</v>
      </c>
      <c r="D183" s="5" t="s">
        <v>27</v>
      </c>
      <c r="E183" s="6" t="n">
        <v>310000</v>
      </c>
      <c r="F183" s="6" t="n">
        <v>307900</v>
      </c>
      <c r="G183" s="7" t="n">
        <f aca="false">F183-E183</f>
        <v>-2100</v>
      </c>
      <c r="H183" s="8" t="n">
        <f aca="false">IFERROR(G183/E183,0)</f>
        <v>-0.0067741935483871</v>
      </c>
      <c r="I183" s="5" t="str">
        <f aca="false">IF(AND(D183="Mantenimiento",G183&gt;50000),"REVISAR - Excede política","OK")</f>
        <v>OK</v>
      </c>
      <c r="J183" s="5" t="s">
        <v>26</v>
      </c>
    </row>
    <row r="184" customFormat="false" ht="15" hidden="false" customHeight="false" outlineLevel="0" collapsed="false">
      <c r="A184" s="5" t="s">
        <v>44</v>
      </c>
      <c r="B184" s="5" t="n">
        <v>10</v>
      </c>
      <c r="C184" s="5" t="s">
        <v>24</v>
      </c>
      <c r="D184" s="5" t="s">
        <v>28</v>
      </c>
      <c r="E184" s="6" t="n">
        <v>95000</v>
      </c>
      <c r="F184" s="6" t="n">
        <v>99100</v>
      </c>
      <c r="G184" s="7" t="n">
        <f aca="false">F184-E184</f>
        <v>4100</v>
      </c>
      <c r="H184" s="8" t="n">
        <f aca="false">IFERROR(G184/E184,0)</f>
        <v>0.0431578947368421</v>
      </c>
      <c r="I184" s="5" t="str">
        <f aca="false">IF(AND(D184="Mantenimiento",G184&gt;50000),"REVISAR - Excede política","OK")</f>
        <v>OK</v>
      </c>
      <c r="J184" s="5" t="s">
        <v>26</v>
      </c>
    </row>
    <row r="185" customFormat="false" ht="15" hidden="false" customHeight="false" outlineLevel="0" collapsed="false">
      <c r="A185" s="5" t="s">
        <v>44</v>
      </c>
      <c r="B185" s="5" t="n">
        <v>10</v>
      </c>
      <c r="C185" s="5" t="s">
        <v>24</v>
      </c>
      <c r="D185" s="5" t="s">
        <v>29</v>
      </c>
      <c r="E185" s="6" t="n">
        <v>60000</v>
      </c>
      <c r="F185" s="6" t="n">
        <v>60400</v>
      </c>
      <c r="G185" s="7" t="n">
        <f aca="false">F185-E185</f>
        <v>400</v>
      </c>
      <c r="H185" s="8" t="n">
        <f aca="false">IFERROR(G185/E185,0)</f>
        <v>0.00666666666666667</v>
      </c>
      <c r="I185" s="5" t="str">
        <f aca="false">IF(AND(D185="Mantenimiento",G185&gt;50000),"REVISAR - Excede política","OK")</f>
        <v>OK</v>
      </c>
      <c r="J185" s="5" t="s">
        <v>26</v>
      </c>
    </row>
    <row r="186" customFormat="false" ht="15" hidden="false" customHeight="false" outlineLevel="0" collapsed="false">
      <c r="A186" s="5" t="s">
        <v>44</v>
      </c>
      <c r="B186" s="5" t="n">
        <v>10</v>
      </c>
      <c r="C186" s="5" t="s">
        <v>24</v>
      </c>
      <c r="D186" s="5" t="s">
        <v>30</v>
      </c>
      <c r="E186" s="6" t="n">
        <v>45000</v>
      </c>
      <c r="F186" s="6" t="n">
        <v>42600</v>
      </c>
      <c r="G186" s="7" t="n">
        <f aca="false">F186-E186</f>
        <v>-2400</v>
      </c>
      <c r="H186" s="8" t="n">
        <f aca="false">IFERROR(G186/E186,0)</f>
        <v>-0.0533333333333333</v>
      </c>
      <c r="I186" s="5" t="str">
        <f aca="false">IF(AND(D186="Mantenimiento",G186&gt;50000),"REVISAR - Excede política","OK")</f>
        <v>OK</v>
      </c>
      <c r="J186" s="5" t="s">
        <v>26</v>
      </c>
    </row>
    <row r="187" customFormat="false" ht="15" hidden="false" customHeight="false" outlineLevel="0" collapsed="false">
      <c r="A187" s="5" t="s">
        <v>44</v>
      </c>
      <c r="B187" s="5" t="n">
        <v>10</v>
      </c>
      <c r="C187" s="5" t="s">
        <v>31</v>
      </c>
      <c r="D187" s="5" t="s">
        <v>25</v>
      </c>
      <c r="E187" s="6" t="n">
        <v>540000</v>
      </c>
      <c r="F187" s="6" t="n">
        <v>572400</v>
      </c>
      <c r="G187" s="7" t="n">
        <f aca="false">F187-E187</f>
        <v>32400</v>
      </c>
      <c r="H187" s="8" t="n">
        <f aca="false">IFERROR(G187/E187,0)</f>
        <v>0.06</v>
      </c>
      <c r="I187" s="5" t="str">
        <f aca="false">IF(AND(D187="Mantenimiento",G187&gt;50000),"REVISAR - Excede política","OK")</f>
        <v>OK</v>
      </c>
      <c r="J187" s="5" t="s">
        <v>32</v>
      </c>
    </row>
    <row r="188" customFormat="false" ht="15" hidden="false" customHeight="false" outlineLevel="0" collapsed="false">
      <c r="A188" s="5" t="s">
        <v>44</v>
      </c>
      <c r="B188" s="5" t="n">
        <v>10</v>
      </c>
      <c r="C188" s="5" t="s">
        <v>31</v>
      </c>
      <c r="D188" s="5" t="s">
        <v>27</v>
      </c>
      <c r="E188" s="6" t="n">
        <v>280000</v>
      </c>
      <c r="F188" s="6" t="n">
        <v>291300</v>
      </c>
      <c r="G188" s="7" t="n">
        <f aca="false">F188-E188</f>
        <v>11300</v>
      </c>
      <c r="H188" s="8" t="n">
        <f aca="false">IFERROR(G188/E188,0)</f>
        <v>0.0403571428571429</v>
      </c>
      <c r="I188" s="5" t="str">
        <f aca="false">IF(AND(D188="Mantenimiento",G188&gt;50000),"REVISAR - Excede política","OK")</f>
        <v>OK</v>
      </c>
      <c r="J188" s="5" t="s">
        <v>32</v>
      </c>
    </row>
    <row r="189" customFormat="false" ht="15" hidden="false" customHeight="false" outlineLevel="0" collapsed="false">
      <c r="A189" s="5" t="s">
        <v>44</v>
      </c>
      <c r="B189" s="5" t="n">
        <v>10</v>
      </c>
      <c r="C189" s="5" t="s">
        <v>31</v>
      </c>
      <c r="D189" s="5" t="s">
        <v>28</v>
      </c>
      <c r="E189" s="6" t="n">
        <v>88000</v>
      </c>
      <c r="F189" s="6" t="n">
        <v>93000</v>
      </c>
      <c r="G189" s="7" t="n">
        <f aca="false">F189-E189</f>
        <v>5000</v>
      </c>
      <c r="H189" s="8" t="n">
        <f aca="false">IFERROR(G189/E189,0)</f>
        <v>0.0568181818181818</v>
      </c>
      <c r="I189" s="5" t="str">
        <f aca="false">IF(AND(D189="Mantenimiento",G189&gt;50000),"REVISAR - Excede política","OK")</f>
        <v>OK</v>
      </c>
      <c r="J189" s="5" t="s">
        <v>32</v>
      </c>
    </row>
    <row r="190" customFormat="false" ht="15" hidden="false" customHeight="false" outlineLevel="0" collapsed="false">
      <c r="A190" s="5" t="s">
        <v>44</v>
      </c>
      <c r="B190" s="5" t="n">
        <v>10</v>
      </c>
      <c r="C190" s="5" t="s">
        <v>31</v>
      </c>
      <c r="D190" s="5" t="s">
        <v>29</v>
      </c>
      <c r="E190" s="6" t="n">
        <v>70000</v>
      </c>
      <c r="F190" s="6" t="n">
        <v>73600</v>
      </c>
      <c r="G190" s="7" t="n">
        <f aca="false">F190-E190</f>
        <v>3600</v>
      </c>
      <c r="H190" s="8" t="n">
        <f aca="false">IFERROR(G190/E190,0)</f>
        <v>0.0514285714285714</v>
      </c>
      <c r="I190" s="5" t="str">
        <f aca="false">IF(AND(D190="Mantenimiento",G190&gt;50000),"REVISAR - Excede política","OK")</f>
        <v>OK</v>
      </c>
      <c r="J190" s="5" t="s">
        <v>32</v>
      </c>
    </row>
    <row r="191" customFormat="false" ht="15" hidden="false" customHeight="false" outlineLevel="0" collapsed="false">
      <c r="A191" s="5" t="s">
        <v>44</v>
      </c>
      <c r="B191" s="5" t="n">
        <v>10</v>
      </c>
      <c r="C191" s="5" t="s">
        <v>31</v>
      </c>
      <c r="D191" s="5" t="s">
        <v>30</v>
      </c>
      <c r="E191" s="6" t="n">
        <v>40000</v>
      </c>
      <c r="F191" s="6" t="n">
        <v>41700</v>
      </c>
      <c r="G191" s="7" t="n">
        <f aca="false">F191-E191</f>
        <v>1700</v>
      </c>
      <c r="H191" s="8" t="n">
        <f aca="false">IFERROR(G191/E191,0)</f>
        <v>0.0425</v>
      </c>
      <c r="I191" s="5" t="str">
        <f aca="false">IF(AND(D191="Mantenimiento",G191&gt;50000),"REVISAR - Excede política","OK")</f>
        <v>OK</v>
      </c>
      <c r="J191" s="5" t="s">
        <v>32</v>
      </c>
    </row>
    <row r="192" customFormat="false" ht="15" hidden="false" customHeight="false" outlineLevel="0" collapsed="false">
      <c r="A192" s="5" t="s">
        <v>44</v>
      </c>
      <c r="B192" s="5" t="n">
        <v>10</v>
      </c>
      <c r="C192" s="5" t="s">
        <v>29</v>
      </c>
      <c r="D192" s="5" t="s">
        <v>25</v>
      </c>
      <c r="E192" s="6" t="n">
        <v>35000</v>
      </c>
      <c r="F192" s="6" t="n">
        <v>33600</v>
      </c>
      <c r="G192" s="7" t="n">
        <f aca="false">F192-E192</f>
        <v>-1400</v>
      </c>
      <c r="H192" s="8" t="n">
        <f aca="false">IFERROR(G192/E192,0)</f>
        <v>-0.04</v>
      </c>
      <c r="I192" s="5" t="str">
        <f aca="false">IF(AND(D192="Mantenimiento",G192&gt;50000),"REVISAR - Excede política","OK")</f>
        <v>OK</v>
      </c>
      <c r="J192" s="5" t="s">
        <v>33</v>
      </c>
    </row>
    <row r="193" customFormat="false" ht="15" hidden="false" customHeight="false" outlineLevel="0" collapsed="false">
      <c r="A193" s="5" t="s">
        <v>44</v>
      </c>
      <c r="B193" s="5" t="n">
        <v>10</v>
      </c>
      <c r="C193" s="5" t="s">
        <v>29</v>
      </c>
      <c r="D193" s="5" t="s">
        <v>27</v>
      </c>
      <c r="E193" s="6" t="n">
        <v>150000</v>
      </c>
      <c r="F193" s="6" t="n">
        <v>149700</v>
      </c>
      <c r="G193" s="7" t="n">
        <f aca="false">F193-E193</f>
        <v>-300</v>
      </c>
      <c r="H193" s="8" t="n">
        <f aca="false">IFERROR(G193/E193,0)</f>
        <v>-0.002</v>
      </c>
      <c r="I193" s="5" t="str">
        <f aca="false">IF(AND(D193="Mantenimiento",G193&gt;50000),"REVISAR - Excede política","OK")</f>
        <v>OK</v>
      </c>
      <c r="J193" s="5" t="s">
        <v>33</v>
      </c>
    </row>
    <row r="194" customFormat="false" ht="15" hidden="false" customHeight="false" outlineLevel="0" collapsed="false">
      <c r="A194" s="5" t="s">
        <v>44</v>
      </c>
      <c r="B194" s="5" t="n">
        <v>10</v>
      </c>
      <c r="C194" s="5" t="s">
        <v>29</v>
      </c>
      <c r="D194" s="5" t="s">
        <v>28</v>
      </c>
      <c r="E194" s="6" t="n">
        <v>20000</v>
      </c>
      <c r="F194" s="6" t="n">
        <v>19300</v>
      </c>
      <c r="G194" s="7" t="n">
        <f aca="false">F194-E194</f>
        <v>-700</v>
      </c>
      <c r="H194" s="8" t="n">
        <f aca="false">IFERROR(G194/E194,0)</f>
        <v>-0.035</v>
      </c>
      <c r="I194" s="5" t="str">
        <f aca="false">IF(AND(D194="Mantenimiento",G194&gt;50000),"REVISAR - Excede política","OK")</f>
        <v>OK</v>
      </c>
      <c r="J194" s="5" t="s">
        <v>33</v>
      </c>
    </row>
    <row r="195" customFormat="false" ht="15" hidden="false" customHeight="false" outlineLevel="0" collapsed="false">
      <c r="A195" s="5" t="s">
        <v>44</v>
      </c>
      <c r="B195" s="5" t="n">
        <v>10</v>
      </c>
      <c r="C195" s="5" t="s">
        <v>29</v>
      </c>
      <c r="D195" s="5" t="s">
        <v>29</v>
      </c>
      <c r="E195" s="6" t="n">
        <v>85000</v>
      </c>
      <c r="F195" s="6" t="n">
        <v>84000</v>
      </c>
      <c r="G195" s="7" t="n">
        <f aca="false">F195-E195</f>
        <v>-1000</v>
      </c>
      <c r="H195" s="8" t="n">
        <f aca="false">IFERROR(G195/E195,0)</f>
        <v>-0.0117647058823529</v>
      </c>
      <c r="I195" s="5" t="str">
        <f aca="false">IF(AND(D195="Mantenimiento",G195&gt;50000),"REVISAR - Excede política","OK")</f>
        <v>OK</v>
      </c>
      <c r="J195" s="5" t="s">
        <v>33</v>
      </c>
    </row>
    <row r="196" customFormat="false" ht="15" hidden="false" customHeight="false" outlineLevel="0" collapsed="false">
      <c r="A196" s="5" t="s">
        <v>44</v>
      </c>
      <c r="B196" s="5" t="n">
        <v>10</v>
      </c>
      <c r="C196" s="5" t="s">
        <v>29</v>
      </c>
      <c r="D196" s="5" t="s">
        <v>30</v>
      </c>
      <c r="E196" s="6" t="n">
        <v>15000</v>
      </c>
      <c r="F196" s="6" t="n">
        <v>14200</v>
      </c>
      <c r="G196" s="7" t="n">
        <f aca="false">F196-E196</f>
        <v>-800</v>
      </c>
      <c r="H196" s="8" t="n">
        <f aca="false">IFERROR(G196/E196,0)</f>
        <v>-0.0533333333333333</v>
      </c>
      <c r="I196" s="5" t="str">
        <f aca="false">IF(AND(D196="Mantenimiento",G196&gt;50000),"REVISAR - Excede política","OK")</f>
        <v>OK</v>
      </c>
      <c r="J196" s="5" t="s">
        <v>33</v>
      </c>
    </row>
    <row r="197" customFormat="false" ht="15" hidden="false" customHeight="false" outlineLevel="0" collapsed="false">
      <c r="A197" s="5" t="s">
        <v>44</v>
      </c>
      <c r="B197" s="5" t="n">
        <v>10</v>
      </c>
      <c r="C197" s="5" t="s">
        <v>34</v>
      </c>
      <c r="D197" s="5" t="s">
        <v>25</v>
      </c>
      <c r="E197" s="6" t="n">
        <v>10000</v>
      </c>
      <c r="F197" s="6" t="n">
        <v>9900</v>
      </c>
      <c r="G197" s="7" t="n">
        <f aca="false">F197-E197</f>
        <v>-100</v>
      </c>
      <c r="H197" s="8" t="n">
        <f aca="false">IFERROR(G197/E197,0)</f>
        <v>-0.01</v>
      </c>
      <c r="I197" s="5" t="str">
        <f aca="false">IF(AND(D197="Mantenimiento",G197&gt;50000),"REVISAR - Excede política","OK")</f>
        <v>OK</v>
      </c>
      <c r="J197" s="5" t="s">
        <v>35</v>
      </c>
    </row>
    <row r="198" customFormat="false" ht="15" hidden="false" customHeight="false" outlineLevel="0" collapsed="false">
      <c r="A198" s="5" t="s">
        <v>44</v>
      </c>
      <c r="B198" s="5" t="n">
        <v>10</v>
      </c>
      <c r="C198" s="5" t="s">
        <v>34</v>
      </c>
      <c r="D198" s="5" t="s">
        <v>27</v>
      </c>
      <c r="E198" s="6" t="n">
        <v>120000</v>
      </c>
      <c r="F198" s="6" t="n">
        <v>127000</v>
      </c>
      <c r="G198" s="7" t="n">
        <f aca="false">F198-E198</f>
        <v>7000</v>
      </c>
      <c r="H198" s="8" t="n">
        <f aca="false">IFERROR(G198/E198,0)</f>
        <v>0.0583333333333333</v>
      </c>
      <c r="I198" s="5" t="str">
        <f aca="false">IF(AND(D198="Mantenimiento",G198&gt;50000),"REVISAR - Excede política","OK")</f>
        <v>OK</v>
      </c>
      <c r="J198" s="5" t="s">
        <v>35</v>
      </c>
    </row>
    <row r="199" customFormat="false" ht="15" hidden="false" customHeight="false" outlineLevel="0" collapsed="false">
      <c r="A199" s="5" t="s">
        <v>44</v>
      </c>
      <c r="B199" s="5" t="n">
        <v>10</v>
      </c>
      <c r="C199" s="5" t="s">
        <v>34</v>
      </c>
      <c r="D199" s="5" t="s">
        <v>28</v>
      </c>
      <c r="E199" s="6" t="n">
        <v>18000</v>
      </c>
      <c r="F199" s="6" t="n">
        <v>17500</v>
      </c>
      <c r="G199" s="7" t="n">
        <f aca="false">F199-E199</f>
        <v>-500</v>
      </c>
      <c r="H199" s="8" t="n">
        <f aca="false">IFERROR(G199/E199,0)</f>
        <v>-0.0277777777777778</v>
      </c>
      <c r="I199" s="5" t="str">
        <f aca="false">IF(AND(D199="Mantenimiento",G199&gt;50000),"REVISAR - Excede política","OK")</f>
        <v>OK</v>
      </c>
      <c r="J199" s="5" t="s">
        <v>35</v>
      </c>
    </row>
    <row r="200" customFormat="false" ht="15" hidden="false" customHeight="false" outlineLevel="0" collapsed="false">
      <c r="A200" s="5" t="s">
        <v>44</v>
      </c>
      <c r="B200" s="5" t="n">
        <v>10</v>
      </c>
      <c r="C200" s="5" t="s">
        <v>34</v>
      </c>
      <c r="D200" s="5" t="s">
        <v>29</v>
      </c>
      <c r="E200" s="6" t="n">
        <v>25000</v>
      </c>
      <c r="F200" s="6" t="n">
        <v>25900</v>
      </c>
      <c r="G200" s="7" t="n">
        <f aca="false">F200-E200</f>
        <v>900</v>
      </c>
      <c r="H200" s="8" t="n">
        <f aca="false">IFERROR(G200/E200,0)</f>
        <v>0.036</v>
      </c>
      <c r="I200" s="5" t="str">
        <f aca="false">IF(AND(D200="Mantenimiento",G200&gt;50000),"REVISAR - Excede política","OK")</f>
        <v>OK</v>
      </c>
      <c r="J200" s="5" t="s">
        <v>35</v>
      </c>
    </row>
    <row r="201" customFormat="false" ht="15" hidden="false" customHeight="false" outlineLevel="0" collapsed="false">
      <c r="A201" s="5" t="s">
        <v>44</v>
      </c>
      <c r="B201" s="5" t="n">
        <v>10</v>
      </c>
      <c r="C201" s="5" t="s">
        <v>34</v>
      </c>
      <c r="D201" s="5" t="s">
        <v>30</v>
      </c>
      <c r="E201" s="6" t="n">
        <v>210000</v>
      </c>
      <c r="F201" s="6" t="n">
        <v>208900</v>
      </c>
      <c r="G201" s="7" t="n">
        <f aca="false">F201-E201</f>
        <v>-1100</v>
      </c>
      <c r="H201" s="8" t="n">
        <f aca="false">IFERROR(G201/E201,0)</f>
        <v>-0.00523809523809524</v>
      </c>
      <c r="I201" s="5" t="str">
        <f aca="false">IF(AND(D201="Mantenimiento",G201&gt;50000),"REVISAR - Excede política","OK")</f>
        <v>OK</v>
      </c>
      <c r="J201" s="5" t="s">
        <v>35</v>
      </c>
    </row>
    <row r="202" customFormat="false" ht="15" hidden="false" customHeight="false" outlineLevel="0" collapsed="false">
      <c r="A202" s="5" t="s">
        <v>45</v>
      </c>
      <c r="B202" s="5" t="n">
        <v>11</v>
      </c>
      <c r="C202" s="5" t="s">
        <v>24</v>
      </c>
      <c r="D202" s="5" t="s">
        <v>25</v>
      </c>
      <c r="E202" s="6" t="n">
        <v>620000</v>
      </c>
      <c r="F202" s="6" t="n">
        <v>599800</v>
      </c>
      <c r="G202" s="7" t="n">
        <f aca="false">F202-E202</f>
        <v>-20200</v>
      </c>
      <c r="H202" s="8" t="n">
        <f aca="false">IFERROR(G202/E202,0)</f>
        <v>-0.0325806451612903</v>
      </c>
      <c r="I202" s="5" t="str">
        <f aca="false">IF(AND(D202="Mantenimiento",G202&gt;50000),"REVISAR - Excede política","OK")</f>
        <v>OK</v>
      </c>
      <c r="J202" s="5" t="s">
        <v>26</v>
      </c>
    </row>
    <row r="203" customFormat="false" ht="15" hidden="false" customHeight="false" outlineLevel="0" collapsed="false">
      <c r="A203" s="5" t="s">
        <v>45</v>
      </c>
      <c r="B203" s="5" t="n">
        <v>11</v>
      </c>
      <c r="C203" s="5" t="s">
        <v>24</v>
      </c>
      <c r="D203" s="5" t="s">
        <v>27</v>
      </c>
      <c r="E203" s="6" t="n">
        <v>310000</v>
      </c>
      <c r="F203" s="6" t="n">
        <v>328400</v>
      </c>
      <c r="G203" s="7" t="n">
        <f aca="false">F203-E203</f>
        <v>18400</v>
      </c>
      <c r="H203" s="8" t="n">
        <f aca="false">IFERROR(G203/E203,0)</f>
        <v>0.0593548387096774</v>
      </c>
      <c r="I203" s="5" t="str">
        <f aca="false">IF(AND(D203="Mantenimiento",G203&gt;50000),"REVISAR - Excede política","OK")</f>
        <v>OK</v>
      </c>
      <c r="J203" s="5" t="s">
        <v>26</v>
      </c>
    </row>
    <row r="204" customFormat="false" ht="15" hidden="false" customHeight="false" outlineLevel="0" collapsed="false">
      <c r="A204" s="5" t="s">
        <v>45</v>
      </c>
      <c r="B204" s="5" t="n">
        <v>11</v>
      </c>
      <c r="C204" s="5" t="s">
        <v>24</v>
      </c>
      <c r="D204" s="5" t="s">
        <v>28</v>
      </c>
      <c r="E204" s="6" t="n">
        <v>95000</v>
      </c>
      <c r="F204" s="6" t="n">
        <v>95600</v>
      </c>
      <c r="G204" s="7" t="n">
        <f aca="false">F204-E204</f>
        <v>600</v>
      </c>
      <c r="H204" s="8" t="n">
        <f aca="false">IFERROR(G204/E204,0)</f>
        <v>0.00631578947368421</v>
      </c>
      <c r="I204" s="5" t="str">
        <f aca="false">IF(AND(D204="Mantenimiento",G204&gt;50000),"REVISAR - Excede política","OK")</f>
        <v>OK</v>
      </c>
      <c r="J204" s="5" t="s">
        <v>26</v>
      </c>
    </row>
    <row r="205" customFormat="false" ht="15" hidden="false" customHeight="false" outlineLevel="0" collapsed="false">
      <c r="A205" s="5" t="s">
        <v>45</v>
      </c>
      <c r="B205" s="5" t="n">
        <v>11</v>
      </c>
      <c r="C205" s="5" t="s">
        <v>24</v>
      </c>
      <c r="D205" s="5" t="s">
        <v>29</v>
      </c>
      <c r="E205" s="6" t="n">
        <v>60000</v>
      </c>
      <c r="F205" s="6" t="n">
        <v>61600</v>
      </c>
      <c r="G205" s="7" t="n">
        <f aca="false">F205-E205</f>
        <v>1600</v>
      </c>
      <c r="H205" s="8" t="n">
        <f aca="false">IFERROR(G205/E205,0)</f>
        <v>0.0266666666666667</v>
      </c>
      <c r="I205" s="5" t="str">
        <f aca="false">IF(AND(D205="Mantenimiento",G205&gt;50000),"REVISAR - Excede política","OK")</f>
        <v>OK</v>
      </c>
      <c r="J205" s="5" t="s">
        <v>26</v>
      </c>
    </row>
    <row r="206" customFormat="false" ht="15" hidden="false" customHeight="false" outlineLevel="0" collapsed="false">
      <c r="A206" s="5" t="s">
        <v>45</v>
      </c>
      <c r="B206" s="5" t="n">
        <v>11</v>
      </c>
      <c r="C206" s="5" t="s">
        <v>24</v>
      </c>
      <c r="D206" s="5" t="s">
        <v>30</v>
      </c>
      <c r="E206" s="6" t="n">
        <v>45000</v>
      </c>
      <c r="F206" s="6" t="n">
        <v>43100</v>
      </c>
      <c r="G206" s="7" t="n">
        <f aca="false">F206-E206</f>
        <v>-1900</v>
      </c>
      <c r="H206" s="8" t="n">
        <f aca="false">IFERROR(G206/E206,0)</f>
        <v>-0.0422222222222222</v>
      </c>
      <c r="I206" s="5" t="str">
        <f aca="false">IF(AND(D206="Mantenimiento",G206&gt;50000),"REVISAR - Excede política","OK")</f>
        <v>OK</v>
      </c>
      <c r="J206" s="5" t="s">
        <v>26</v>
      </c>
    </row>
    <row r="207" customFormat="false" ht="15" hidden="false" customHeight="false" outlineLevel="0" collapsed="false">
      <c r="A207" s="5" t="s">
        <v>45</v>
      </c>
      <c r="B207" s="5" t="n">
        <v>11</v>
      </c>
      <c r="C207" s="5" t="s">
        <v>31</v>
      </c>
      <c r="D207" s="5" t="s">
        <v>25</v>
      </c>
      <c r="E207" s="6" t="n">
        <v>540000</v>
      </c>
      <c r="F207" s="6" t="n">
        <v>526800</v>
      </c>
      <c r="G207" s="7" t="n">
        <f aca="false">F207-E207</f>
        <v>-13200</v>
      </c>
      <c r="H207" s="8" t="n">
        <f aca="false">IFERROR(G207/E207,0)</f>
        <v>-0.0244444444444444</v>
      </c>
      <c r="I207" s="5" t="str">
        <f aca="false">IF(AND(D207="Mantenimiento",G207&gt;50000),"REVISAR - Excede política","OK")</f>
        <v>OK</v>
      </c>
      <c r="J207" s="5" t="s">
        <v>32</v>
      </c>
    </row>
    <row r="208" customFormat="false" ht="15" hidden="false" customHeight="false" outlineLevel="0" collapsed="false">
      <c r="A208" s="5" t="s">
        <v>45</v>
      </c>
      <c r="B208" s="5" t="n">
        <v>11</v>
      </c>
      <c r="C208" s="5" t="s">
        <v>31</v>
      </c>
      <c r="D208" s="5" t="s">
        <v>27</v>
      </c>
      <c r="E208" s="6" t="n">
        <v>280000</v>
      </c>
      <c r="F208" s="6" t="n">
        <v>295700</v>
      </c>
      <c r="G208" s="7" t="n">
        <f aca="false">F208-E208</f>
        <v>15700</v>
      </c>
      <c r="H208" s="8" t="n">
        <f aca="false">IFERROR(G208/E208,0)</f>
        <v>0.0560714285714286</v>
      </c>
      <c r="I208" s="5" t="str">
        <f aca="false">IF(AND(D208="Mantenimiento",G208&gt;50000),"REVISAR - Excede política","OK")</f>
        <v>OK</v>
      </c>
      <c r="J208" s="5" t="s">
        <v>32</v>
      </c>
    </row>
    <row r="209" customFormat="false" ht="15" hidden="false" customHeight="false" outlineLevel="0" collapsed="false">
      <c r="A209" s="5" t="s">
        <v>45</v>
      </c>
      <c r="B209" s="5" t="n">
        <v>11</v>
      </c>
      <c r="C209" s="5" t="s">
        <v>31</v>
      </c>
      <c r="D209" s="5" t="s">
        <v>28</v>
      </c>
      <c r="E209" s="6" t="n">
        <v>88000</v>
      </c>
      <c r="F209" s="6" t="n">
        <v>88800</v>
      </c>
      <c r="G209" s="7" t="n">
        <f aca="false">F209-E209</f>
        <v>800</v>
      </c>
      <c r="H209" s="8" t="n">
        <f aca="false">IFERROR(G209/E209,0)</f>
        <v>0.00909090909090909</v>
      </c>
      <c r="I209" s="5" t="str">
        <f aca="false">IF(AND(D209="Mantenimiento",G209&gt;50000),"REVISAR - Excede política","OK")</f>
        <v>OK</v>
      </c>
      <c r="J209" s="5" t="s">
        <v>32</v>
      </c>
    </row>
    <row r="210" customFormat="false" ht="15" hidden="false" customHeight="false" outlineLevel="0" collapsed="false">
      <c r="A210" s="5" t="s">
        <v>45</v>
      </c>
      <c r="B210" s="5" t="n">
        <v>11</v>
      </c>
      <c r="C210" s="5" t="s">
        <v>31</v>
      </c>
      <c r="D210" s="5" t="s">
        <v>29</v>
      </c>
      <c r="E210" s="6" t="n">
        <v>70000</v>
      </c>
      <c r="F210" s="6" t="n">
        <v>70400</v>
      </c>
      <c r="G210" s="7" t="n">
        <f aca="false">F210-E210</f>
        <v>400</v>
      </c>
      <c r="H210" s="8" t="n">
        <f aca="false">IFERROR(G210/E210,0)</f>
        <v>0.00571428571428571</v>
      </c>
      <c r="I210" s="5" t="str">
        <f aca="false">IF(AND(D210="Mantenimiento",G210&gt;50000),"REVISAR - Excede política","OK")</f>
        <v>OK</v>
      </c>
      <c r="J210" s="5" t="s">
        <v>32</v>
      </c>
    </row>
    <row r="211" customFormat="false" ht="15" hidden="false" customHeight="false" outlineLevel="0" collapsed="false">
      <c r="A211" s="5" t="s">
        <v>45</v>
      </c>
      <c r="B211" s="5" t="n">
        <v>11</v>
      </c>
      <c r="C211" s="5" t="s">
        <v>31</v>
      </c>
      <c r="D211" s="5" t="s">
        <v>30</v>
      </c>
      <c r="E211" s="6" t="n">
        <v>40000</v>
      </c>
      <c r="F211" s="6" t="n">
        <v>41200</v>
      </c>
      <c r="G211" s="7" t="n">
        <f aca="false">F211-E211</f>
        <v>1200</v>
      </c>
      <c r="H211" s="8" t="n">
        <f aca="false">IFERROR(G211/E211,0)</f>
        <v>0.03</v>
      </c>
      <c r="I211" s="5" t="str">
        <f aca="false">IF(AND(D211="Mantenimiento",G211&gt;50000),"REVISAR - Excede política","OK")</f>
        <v>OK</v>
      </c>
      <c r="J211" s="5" t="s">
        <v>32</v>
      </c>
    </row>
    <row r="212" customFormat="false" ht="15" hidden="false" customHeight="false" outlineLevel="0" collapsed="false">
      <c r="A212" s="5" t="s">
        <v>45</v>
      </c>
      <c r="B212" s="5" t="n">
        <v>11</v>
      </c>
      <c r="C212" s="5" t="s">
        <v>29</v>
      </c>
      <c r="D212" s="5" t="s">
        <v>25</v>
      </c>
      <c r="E212" s="6" t="n">
        <v>35000</v>
      </c>
      <c r="F212" s="6" t="n">
        <v>33100</v>
      </c>
      <c r="G212" s="7" t="n">
        <f aca="false">F212-E212</f>
        <v>-1900</v>
      </c>
      <c r="H212" s="8" t="n">
        <f aca="false">IFERROR(G212/E212,0)</f>
        <v>-0.0542857142857143</v>
      </c>
      <c r="I212" s="5" t="str">
        <f aca="false">IF(AND(D212="Mantenimiento",G212&gt;50000),"REVISAR - Excede política","OK")</f>
        <v>OK</v>
      </c>
      <c r="J212" s="5" t="s">
        <v>33</v>
      </c>
    </row>
    <row r="213" customFormat="false" ht="15" hidden="false" customHeight="false" outlineLevel="0" collapsed="false">
      <c r="A213" s="5" t="s">
        <v>45</v>
      </c>
      <c r="B213" s="5" t="n">
        <v>11</v>
      </c>
      <c r="C213" s="5" t="s">
        <v>29</v>
      </c>
      <c r="D213" s="5" t="s">
        <v>27</v>
      </c>
      <c r="E213" s="6" t="n">
        <v>150000</v>
      </c>
      <c r="F213" s="6" t="n">
        <v>151500</v>
      </c>
      <c r="G213" s="7" t="n">
        <f aca="false">F213-E213</f>
        <v>1500</v>
      </c>
      <c r="H213" s="8" t="n">
        <f aca="false">IFERROR(G213/E213,0)</f>
        <v>0.01</v>
      </c>
      <c r="I213" s="5" t="str">
        <f aca="false">IF(AND(D213="Mantenimiento",G213&gt;50000),"REVISAR - Excede política","OK")</f>
        <v>OK</v>
      </c>
      <c r="J213" s="5" t="s">
        <v>33</v>
      </c>
    </row>
    <row r="214" customFormat="false" ht="15" hidden="false" customHeight="false" outlineLevel="0" collapsed="false">
      <c r="A214" s="5" t="s">
        <v>45</v>
      </c>
      <c r="B214" s="5" t="n">
        <v>11</v>
      </c>
      <c r="C214" s="5" t="s">
        <v>29</v>
      </c>
      <c r="D214" s="5" t="s">
        <v>28</v>
      </c>
      <c r="E214" s="6" t="n">
        <v>20000</v>
      </c>
      <c r="F214" s="6" t="n">
        <v>20000</v>
      </c>
      <c r="G214" s="7" t="n">
        <f aca="false">F214-E214</f>
        <v>0</v>
      </c>
      <c r="H214" s="8" t="n">
        <f aca="false">IFERROR(G214/E214,0)</f>
        <v>0</v>
      </c>
      <c r="I214" s="5" t="str">
        <f aca="false">IF(AND(D214="Mantenimiento",G214&gt;50000),"REVISAR - Excede política","OK")</f>
        <v>OK</v>
      </c>
      <c r="J214" s="5" t="s">
        <v>33</v>
      </c>
    </row>
    <row r="215" customFormat="false" ht="15" hidden="false" customHeight="false" outlineLevel="0" collapsed="false">
      <c r="A215" s="5" t="s">
        <v>45</v>
      </c>
      <c r="B215" s="5" t="n">
        <v>11</v>
      </c>
      <c r="C215" s="5" t="s">
        <v>29</v>
      </c>
      <c r="D215" s="5" t="s">
        <v>29</v>
      </c>
      <c r="E215" s="6" t="n">
        <v>85000</v>
      </c>
      <c r="F215" s="6" t="n">
        <v>88600</v>
      </c>
      <c r="G215" s="7" t="n">
        <f aca="false">F215-E215</f>
        <v>3600</v>
      </c>
      <c r="H215" s="8" t="n">
        <f aca="false">IFERROR(G215/E215,0)</f>
        <v>0.0423529411764706</v>
      </c>
      <c r="I215" s="5" t="str">
        <f aca="false">IF(AND(D215="Mantenimiento",G215&gt;50000),"REVISAR - Excede política","OK")</f>
        <v>OK</v>
      </c>
      <c r="J215" s="5" t="s">
        <v>33</v>
      </c>
    </row>
    <row r="216" customFormat="false" ht="15" hidden="false" customHeight="false" outlineLevel="0" collapsed="false">
      <c r="A216" s="5" t="s">
        <v>45</v>
      </c>
      <c r="B216" s="5" t="n">
        <v>11</v>
      </c>
      <c r="C216" s="5" t="s">
        <v>29</v>
      </c>
      <c r="D216" s="5" t="s">
        <v>30</v>
      </c>
      <c r="E216" s="6" t="n">
        <v>15000</v>
      </c>
      <c r="F216" s="6" t="n">
        <v>14400</v>
      </c>
      <c r="G216" s="7" t="n">
        <f aca="false">F216-E216</f>
        <v>-600</v>
      </c>
      <c r="H216" s="8" t="n">
        <f aca="false">IFERROR(G216/E216,0)</f>
        <v>-0.04</v>
      </c>
      <c r="I216" s="5" t="str">
        <f aca="false">IF(AND(D216="Mantenimiento",G216&gt;50000),"REVISAR - Excede política","OK")</f>
        <v>OK</v>
      </c>
      <c r="J216" s="5" t="s">
        <v>33</v>
      </c>
    </row>
    <row r="217" customFormat="false" ht="15" hidden="false" customHeight="false" outlineLevel="0" collapsed="false">
      <c r="A217" s="5" t="s">
        <v>45</v>
      </c>
      <c r="B217" s="5" t="n">
        <v>11</v>
      </c>
      <c r="C217" s="5" t="s">
        <v>34</v>
      </c>
      <c r="D217" s="5" t="s">
        <v>25</v>
      </c>
      <c r="E217" s="6" t="n">
        <v>10000</v>
      </c>
      <c r="F217" s="6" t="n">
        <v>10600</v>
      </c>
      <c r="G217" s="7" t="n">
        <f aca="false">F217-E217</f>
        <v>600</v>
      </c>
      <c r="H217" s="8" t="n">
        <f aca="false">IFERROR(G217/E217,0)</f>
        <v>0.06</v>
      </c>
      <c r="I217" s="5" t="str">
        <f aca="false">IF(AND(D217="Mantenimiento",G217&gt;50000),"REVISAR - Excede política","OK")</f>
        <v>OK</v>
      </c>
      <c r="J217" s="5" t="s">
        <v>35</v>
      </c>
    </row>
    <row r="218" customFormat="false" ht="15" hidden="false" customHeight="false" outlineLevel="0" collapsed="false">
      <c r="A218" s="5" t="s">
        <v>45</v>
      </c>
      <c r="B218" s="5" t="n">
        <v>11</v>
      </c>
      <c r="C218" s="5" t="s">
        <v>34</v>
      </c>
      <c r="D218" s="5" t="s">
        <v>27</v>
      </c>
      <c r="E218" s="6" t="n">
        <v>120000</v>
      </c>
      <c r="F218" s="6" t="n">
        <v>114000</v>
      </c>
      <c r="G218" s="7" t="n">
        <f aca="false">F218-E218</f>
        <v>-6000</v>
      </c>
      <c r="H218" s="8" t="n">
        <f aca="false">IFERROR(G218/E218,0)</f>
        <v>-0.05</v>
      </c>
      <c r="I218" s="5" t="str">
        <f aca="false">IF(AND(D218="Mantenimiento",G218&gt;50000),"REVISAR - Excede política","OK")</f>
        <v>OK</v>
      </c>
      <c r="J218" s="5" t="s">
        <v>35</v>
      </c>
    </row>
    <row r="219" customFormat="false" ht="15" hidden="false" customHeight="false" outlineLevel="0" collapsed="false">
      <c r="A219" s="5" t="s">
        <v>45</v>
      </c>
      <c r="B219" s="5" t="n">
        <v>11</v>
      </c>
      <c r="C219" s="5" t="s">
        <v>34</v>
      </c>
      <c r="D219" s="5" t="s">
        <v>28</v>
      </c>
      <c r="E219" s="6" t="n">
        <v>18000</v>
      </c>
      <c r="F219" s="6" t="n">
        <v>17300</v>
      </c>
      <c r="G219" s="7" t="n">
        <f aca="false">F219-E219</f>
        <v>-700</v>
      </c>
      <c r="H219" s="8" t="n">
        <f aca="false">IFERROR(G219/E219,0)</f>
        <v>-0.0388888888888889</v>
      </c>
      <c r="I219" s="5" t="str">
        <f aca="false">IF(AND(D219="Mantenimiento",G219&gt;50000),"REVISAR - Excede política","OK")</f>
        <v>OK</v>
      </c>
      <c r="J219" s="5" t="s">
        <v>35</v>
      </c>
    </row>
    <row r="220" customFormat="false" ht="15" hidden="false" customHeight="false" outlineLevel="0" collapsed="false">
      <c r="A220" s="5" t="s">
        <v>45</v>
      </c>
      <c r="B220" s="5" t="n">
        <v>11</v>
      </c>
      <c r="C220" s="5" t="s">
        <v>34</v>
      </c>
      <c r="D220" s="5" t="s">
        <v>29</v>
      </c>
      <c r="E220" s="6" t="n">
        <v>25000</v>
      </c>
      <c r="F220" s="6" t="n">
        <v>25300</v>
      </c>
      <c r="G220" s="7" t="n">
        <f aca="false">F220-E220</f>
        <v>300</v>
      </c>
      <c r="H220" s="8" t="n">
        <f aca="false">IFERROR(G220/E220,0)</f>
        <v>0.012</v>
      </c>
      <c r="I220" s="5" t="str">
        <f aca="false">IF(AND(D220="Mantenimiento",G220&gt;50000),"REVISAR - Excede política","OK")</f>
        <v>OK</v>
      </c>
      <c r="J220" s="5" t="s">
        <v>35</v>
      </c>
    </row>
    <row r="221" customFormat="false" ht="15" hidden="false" customHeight="false" outlineLevel="0" collapsed="false">
      <c r="A221" s="5" t="s">
        <v>45</v>
      </c>
      <c r="B221" s="5" t="n">
        <v>11</v>
      </c>
      <c r="C221" s="5" t="s">
        <v>34</v>
      </c>
      <c r="D221" s="5" t="s">
        <v>30</v>
      </c>
      <c r="E221" s="6" t="n">
        <v>210000</v>
      </c>
      <c r="F221" s="6" t="n">
        <v>214400</v>
      </c>
      <c r="G221" s="7" t="n">
        <f aca="false">F221-E221</f>
        <v>4400</v>
      </c>
      <c r="H221" s="8" t="n">
        <f aca="false">IFERROR(G221/E221,0)</f>
        <v>0.020952380952381</v>
      </c>
      <c r="I221" s="5" t="str">
        <f aca="false">IF(AND(D221="Mantenimiento",G221&gt;50000),"REVISAR - Excede política","OK")</f>
        <v>OK</v>
      </c>
      <c r="J221" s="5" t="s">
        <v>35</v>
      </c>
    </row>
    <row r="222" customFormat="false" ht="15" hidden="false" customHeight="false" outlineLevel="0" collapsed="false">
      <c r="A222" s="5" t="s">
        <v>46</v>
      </c>
      <c r="B222" s="5" t="n">
        <v>12</v>
      </c>
      <c r="C222" s="5" t="s">
        <v>24</v>
      </c>
      <c r="D222" s="5" t="s">
        <v>25</v>
      </c>
      <c r="E222" s="6" t="n">
        <v>620000</v>
      </c>
      <c r="F222" s="6" t="n">
        <v>568700</v>
      </c>
      <c r="G222" s="7" t="n">
        <f aca="false">F222-E222</f>
        <v>-51300</v>
      </c>
      <c r="H222" s="8" t="n">
        <f aca="false">IFERROR(G222/E222,0)</f>
        <v>-0.082741935483871</v>
      </c>
      <c r="I222" s="5" t="str">
        <f aca="false">IF(AND(D222="Mantenimiento",G222&gt;50000),"REVISAR - Excede política","OK")</f>
        <v>OK</v>
      </c>
      <c r="J222" s="5" t="s">
        <v>26</v>
      </c>
    </row>
    <row r="223" customFormat="false" ht="15" hidden="false" customHeight="false" outlineLevel="0" collapsed="false">
      <c r="A223" s="5" t="s">
        <v>46</v>
      </c>
      <c r="B223" s="5" t="n">
        <v>12</v>
      </c>
      <c r="C223" s="5" t="s">
        <v>24</v>
      </c>
      <c r="D223" s="5" t="s">
        <v>27</v>
      </c>
      <c r="E223" s="6" t="n">
        <v>310000</v>
      </c>
      <c r="F223" s="6" t="n">
        <v>324500</v>
      </c>
      <c r="G223" s="7" t="n">
        <f aca="false">F223-E223</f>
        <v>14500</v>
      </c>
      <c r="H223" s="8" t="n">
        <f aca="false">IFERROR(G223/E223,0)</f>
        <v>0.0467741935483871</v>
      </c>
      <c r="I223" s="5" t="str">
        <f aca="false">IF(AND(D223="Mantenimiento",G223&gt;50000),"REVISAR - Excede política","OK")</f>
        <v>OK</v>
      </c>
      <c r="J223" s="5" t="s">
        <v>26</v>
      </c>
    </row>
    <row r="224" customFormat="false" ht="15" hidden="false" customHeight="false" outlineLevel="0" collapsed="false">
      <c r="A224" s="5" t="s">
        <v>46</v>
      </c>
      <c r="B224" s="5" t="n">
        <v>12</v>
      </c>
      <c r="C224" s="5" t="s">
        <v>24</v>
      </c>
      <c r="D224" s="5" t="s">
        <v>28</v>
      </c>
      <c r="E224" s="6" t="n">
        <v>95000</v>
      </c>
      <c r="F224" s="6" t="n">
        <v>92100</v>
      </c>
      <c r="G224" s="7" t="n">
        <f aca="false">F224-E224</f>
        <v>-2900</v>
      </c>
      <c r="H224" s="8" t="n">
        <f aca="false">IFERROR(G224/E224,0)</f>
        <v>-0.0305263157894737</v>
      </c>
      <c r="I224" s="5" t="str">
        <f aca="false">IF(AND(D224="Mantenimiento",G224&gt;50000),"REVISAR - Excede política","OK")</f>
        <v>OK</v>
      </c>
      <c r="J224" s="5" t="s">
        <v>26</v>
      </c>
    </row>
    <row r="225" customFormat="false" ht="15" hidden="false" customHeight="false" outlineLevel="0" collapsed="false">
      <c r="A225" s="5" t="s">
        <v>46</v>
      </c>
      <c r="B225" s="5" t="n">
        <v>12</v>
      </c>
      <c r="C225" s="5" t="s">
        <v>24</v>
      </c>
      <c r="D225" s="5" t="s">
        <v>29</v>
      </c>
      <c r="E225" s="6" t="n">
        <v>60000</v>
      </c>
      <c r="F225" s="6" t="n">
        <v>60700</v>
      </c>
      <c r="G225" s="7" t="n">
        <f aca="false">F225-E225</f>
        <v>700</v>
      </c>
      <c r="H225" s="8" t="n">
        <f aca="false">IFERROR(G225/E225,0)</f>
        <v>0.0116666666666667</v>
      </c>
      <c r="I225" s="5" t="str">
        <f aca="false">IF(AND(D225="Mantenimiento",G225&gt;50000),"REVISAR - Excede política","OK")</f>
        <v>OK</v>
      </c>
      <c r="J225" s="5" t="s">
        <v>26</v>
      </c>
    </row>
    <row r="226" customFormat="false" ht="15" hidden="false" customHeight="false" outlineLevel="0" collapsed="false">
      <c r="A226" s="5" t="s">
        <v>46</v>
      </c>
      <c r="B226" s="5" t="n">
        <v>12</v>
      </c>
      <c r="C226" s="5" t="s">
        <v>24</v>
      </c>
      <c r="D226" s="5" t="s">
        <v>30</v>
      </c>
      <c r="E226" s="6" t="n">
        <v>45000</v>
      </c>
      <c r="F226" s="6" t="n">
        <v>45600</v>
      </c>
      <c r="G226" s="7" t="n">
        <f aca="false">F226-E226</f>
        <v>600</v>
      </c>
      <c r="H226" s="8" t="n">
        <f aca="false">IFERROR(G226/E226,0)</f>
        <v>0.0133333333333333</v>
      </c>
      <c r="I226" s="5" t="str">
        <f aca="false">IF(AND(D226="Mantenimiento",G226&gt;50000),"REVISAR - Excede política","OK")</f>
        <v>OK</v>
      </c>
      <c r="J226" s="5" t="s">
        <v>26</v>
      </c>
    </row>
    <row r="227" customFormat="false" ht="15" hidden="false" customHeight="false" outlineLevel="0" collapsed="false">
      <c r="A227" s="5" t="s">
        <v>46</v>
      </c>
      <c r="B227" s="5" t="n">
        <v>12</v>
      </c>
      <c r="C227" s="5" t="s">
        <v>31</v>
      </c>
      <c r="D227" s="5" t="s">
        <v>25</v>
      </c>
      <c r="E227" s="6" t="n">
        <v>540000</v>
      </c>
      <c r="F227" s="6" t="n">
        <v>534800</v>
      </c>
      <c r="G227" s="7" t="n">
        <f aca="false">F227-E227</f>
        <v>-5200</v>
      </c>
      <c r="H227" s="8" t="n">
        <f aca="false">IFERROR(G227/E227,0)</f>
        <v>-0.00962962962962963</v>
      </c>
      <c r="I227" s="5" t="str">
        <f aca="false">IF(AND(D227="Mantenimiento",G227&gt;50000),"REVISAR - Excede política","OK")</f>
        <v>OK</v>
      </c>
      <c r="J227" s="5" t="s">
        <v>32</v>
      </c>
    </row>
    <row r="228" customFormat="false" ht="15" hidden="false" customHeight="false" outlineLevel="0" collapsed="false">
      <c r="A228" s="5" t="s">
        <v>46</v>
      </c>
      <c r="B228" s="5" t="n">
        <v>12</v>
      </c>
      <c r="C228" s="5" t="s">
        <v>31</v>
      </c>
      <c r="D228" s="5" t="s">
        <v>27</v>
      </c>
      <c r="E228" s="6" t="n">
        <v>280000</v>
      </c>
      <c r="F228" s="6" t="n">
        <v>282800</v>
      </c>
      <c r="G228" s="7" t="n">
        <f aca="false">F228-E228</f>
        <v>2800</v>
      </c>
      <c r="H228" s="8" t="n">
        <f aca="false">IFERROR(G228/E228,0)</f>
        <v>0.01</v>
      </c>
      <c r="I228" s="5" t="str">
        <f aca="false">IF(AND(D228="Mantenimiento",G228&gt;50000),"REVISAR - Excede política","OK")</f>
        <v>OK</v>
      </c>
      <c r="J228" s="5" t="s">
        <v>32</v>
      </c>
    </row>
    <row r="229" customFormat="false" ht="15" hidden="false" customHeight="false" outlineLevel="0" collapsed="false">
      <c r="A229" s="5" t="s">
        <v>46</v>
      </c>
      <c r="B229" s="5" t="n">
        <v>12</v>
      </c>
      <c r="C229" s="5" t="s">
        <v>31</v>
      </c>
      <c r="D229" s="5" t="s">
        <v>28</v>
      </c>
      <c r="E229" s="6" t="n">
        <v>88000</v>
      </c>
      <c r="F229" s="6" t="n">
        <v>88200</v>
      </c>
      <c r="G229" s="7" t="n">
        <f aca="false">F229-E229</f>
        <v>200</v>
      </c>
      <c r="H229" s="8" t="n">
        <f aca="false">IFERROR(G229/E229,0)</f>
        <v>0.00227272727272727</v>
      </c>
      <c r="I229" s="5" t="str">
        <f aca="false">IF(AND(D229="Mantenimiento",G229&gt;50000),"REVISAR - Excede política","OK")</f>
        <v>OK</v>
      </c>
      <c r="J229" s="5" t="s">
        <v>32</v>
      </c>
    </row>
    <row r="230" customFormat="false" ht="15" hidden="false" customHeight="false" outlineLevel="0" collapsed="false">
      <c r="A230" s="5" t="s">
        <v>46</v>
      </c>
      <c r="B230" s="5" t="n">
        <v>12</v>
      </c>
      <c r="C230" s="5" t="s">
        <v>31</v>
      </c>
      <c r="D230" s="5" t="s">
        <v>29</v>
      </c>
      <c r="E230" s="6" t="n">
        <v>70000</v>
      </c>
      <c r="F230" s="6" t="n">
        <v>73700</v>
      </c>
      <c r="G230" s="7" t="n">
        <f aca="false">F230-E230</f>
        <v>3700</v>
      </c>
      <c r="H230" s="8" t="n">
        <f aca="false">IFERROR(G230/E230,0)</f>
        <v>0.0528571428571429</v>
      </c>
      <c r="I230" s="5" t="str">
        <f aca="false">IF(AND(D230="Mantenimiento",G230&gt;50000),"REVISAR - Excede política","OK")</f>
        <v>OK</v>
      </c>
      <c r="J230" s="5" t="s">
        <v>32</v>
      </c>
    </row>
    <row r="231" customFormat="false" ht="15" hidden="false" customHeight="false" outlineLevel="0" collapsed="false">
      <c r="A231" s="5" t="s">
        <v>46</v>
      </c>
      <c r="B231" s="5" t="n">
        <v>12</v>
      </c>
      <c r="C231" s="5" t="s">
        <v>31</v>
      </c>
      <c r="D231" s="5" t="s">
        <v>30</v>
      </c>
      <c r="E231" s="6" t="n">
        <v>40000</v>
      </c>
      <c r="F231" s="6" t="n">
        <v>38600</v>
      </c>
      <c r="G231" s="7" t="n">
        <f aca="false">F231-E231</f>
        <v>-1400</v>
      </c>
      <c r="H231" s="8" t="n">
        <f aca="false">IFERROR(G231/E231,0)</f>
        <v>-0.035</v>
      </c>
      <c r="I231" s="5" t="str">
        <f aca="false">IF(AND(D231="Mantenimiento",G231&gt;50000),"REVISAR - Excede política","OK")</f>
        <v>OK</v>
      </c>
      <c r="J231" s="5" t="s">
        <v>32</v>
      </c>
    </row>
    <row r="232" customFormat="false" ht="15" hidden="false" customHeight="false" outlineLevel="0" collapsed="false">
      <c r="A232" s="5" t="s">
        <v>46</v>
      </c>
      <c r="B232" s="5" t="n">
        <v>12</v>
      </c>
      <c r="C232" s="5" t="s">
        <v>29</v>
      </c>
      <c r="D232" s="5" t="s">
        <v>25</v>
      </c>
      <c r="E232" s="6" t="n">
        <v>35000</v>
      </c>
      <c r="F232" s="6" t="n">
        <v>35900</v>
      </c>
      <c r="G232" s="7" t="n">
        <f aca="false">F232-E232</f>
        <v>900</v>
      </c>
      <c r="H232" s="8" t="n">
        <f aca="false">IFERROR(G232/E232,0)</f>
        <v>0.0257142857142857</v>
      </c>
      <c r="I232" s="5" t="str">
        <f aca="false">IF(AND(D232="Mantenimiento",G232&gt;50000),"REVISAR - Excede política","OK")</f>
        <v>OK</v>
      </c>
      <c r="J232" s="5" t="s">
        <v>33</v>
      </c>
    </row>
    <row r="233" customFormat="false" ht="15" hidden="false" customHeight="false" outlineLevel="0" collapsed="false">
      <c r="A233" s="5" t="s">
        <v>46</v>
      </c>
      <c r="B233" s="5" t="n">
        <v>12</v>
      </c>
      <c r="C233" s="5" t="s">
        <v>29</v>
      </c>
      <c r="D233" s="5" t="s">
        <v>27</v>
      </c>
      <c r="E233" s="6" t="n">
        <v>150000</v>
      </c>
      <c r="F233" s="6" t="n">
        <v>145300</v>
      </c>
      <c r="G233" s="7" t="n">
        <f aca="false">F233-E233</f>
        <v>-4700</v>
      </c>
      <c r="H233" s="8" t="n">
        <f aca="false">IFERROR(G233/E233,0)</f>
        <v>-0.0313333333333333</v>
      </c>
      <c r="I233" s="5" t="str">
        <f aca="false">IF(AND(D233="Mantenimiento",G233&gt;50000),"REVISAR - Excede política","OK")</f>
        <v>OK</v>
      </c>
      <c r="J233" s="5" t="s">
        <v>33</v>
      </c>
    </row>
    <row r="234" customFormat="false" ht="15" hidden="false" customHeight="false" outlineLevel="0" collapsed="false">
      <c r="A234" s="5" t="s">
        <v>46</v>
      </c>
      <c r="B234" s="5" t="n">
        <v>12</v>
      </c>
      <c r="C234" s="5" t="s">
        <v>29</v>
      </c>
      <c r="D234" s="5" t="s">
        <v>28</v>
      </c>
      <c r="E234" s="6" t="n">
        <v>20000</v>
      </c>
      <c r="F234" s="6" t="n">
        <v>19700</v>
      </c>
      <c r="G234" s="7" t="n">
        <f aca="false">F234-E234</f>
        <v>-300</v>
      </c>
      <c r="H234" s="8" t="n">
        <f aca="false">IFERROR(G234/E234,0)</f>
        <v>-0.015</v>
      </c>
      <c r="I234" s="5" t="str">
        <f aca="false">IF(AND(D234="Mantenimiento",G234&gt;50000),"REVISAR - Excede política","OK")</f>
        <v>OK</v>
      </c>
      <c r="J234" s="5" t="s">
        <v>33</v>
      </c>
    </row>
    <row r="235" customFormat="false" ht="15" hidden="false" customHeight="false" outlineLevel="0" collapsed="false">
      <c r="A235" s="5" t="s">
        <v>46</v>
      </c>
      <c r="B235" s="5" t="n">
        <v>12</v>
      </c>
      <c r="C235" s="5" t="s">
        <v>29</v>
      </c>
      <c r="D235" s="5" t="s">
        <v>29</v>
      </c>
      <c r="E235" s="6" t="n">
        <v>85000</v>
      </c>
      <c r="F235" s="6" t="n">
        <v>86800</v>
      </c>
      <c r="G235" s="7" t="n">
        <f aca="false">F235-E235</f>
        <v>1800</v>
      </c>
      <c r="H235" s="8" t="n">
        <f aca="false">IFERROR(G235/E235,0)</f>
        <v>0.0211764705882353</v>
      </c>
      <c r="I235" s="5" t="str">
        <f aca="false">IF(AND(D235="Mantenimiento",G235&gt;50000),"REVISAR - Excede política","OK")</f>
        <v>OK</v>
      </c>
      <c r="J235" s="5" t="s">
        <v>33</v>
      </c>
    </row>
    <row r="236" customFormat="false" ht="15" hidden="false" customHeight="false" outlineLevel="0" collapsed="false">
      <c r="A236" s="5" t="s">
        <v>46</v>
      </c>
      <c r="B236" s="5" t="n">
        <v>12</v>
      </c>
      <c r="C236" s="5" t="s">
        <v>29</v>
      </c>
      <c r="D236" s="5" t="s">
        <v>30</v>
      </c>
      <c r="E236" s="6" t="n">
        <v>15000</v>
      </c>
      <c r="F236" s="6" t="n">
        <v>14600</v>
      </c>
      <c r="G236" s="7" t="n">
        <f aca="false">F236-E236</f>
        <v>-400</v>
      </c>
      <c r="H236" s="8" t="n">
        <f aca="false">IFERROR(G236/E236,0)</f>
        <v>-0.0266666666666667</v>
      </c>
      <c r="I236" s="5" t="str">
        <f aca="false">IF(AND(D236="Mantenimiento",G236&gt;50000),"REVISAR - Excede política","OK")</f>
        <v>OK</v>
      </c>
      <c r="J236" s="5" t="s">
        <v>33</v>
      </c>
    </row>
    <row r="237" customFormat="false" ht="15" hidden="false" customHeight="false" outlineLevel="0" collapsed="false">
      <c r="A237" s="5" t="s">
        <v>46</v>
      </c>
      <c r="B237" s="5" t="n">
        <v>12</v>
      </c>
      <c r="C237" s="5" t="s">
        <v>34</v>
      </c>
      <c r="D237" s="5" t="s">
        <v>25</v>
      </c>
      <c r="E237" s="6" t="n">
        <v>10000</v>
      </c>
      <c r="F237" s="6" t="n">
        <v>9800</v>
      </c>
      <c r="G237" s="7" t="n">
        <f aca="false">F237-E237</f>
        <v>-200</v>
      </c>
      <c r="H237" s="8" t="n">
        <f aca="false">IFERROR(G237/E237,0)</f>
        <v>-0.02</v>
      </c>
      <c r="I237" s="5" t="str">
        <f aca="false">IF(AND(D237="Mantenimiento",G237&gt;50000),"REVISAR - Excede política","OK")</f>
        <v>OK</v>
      </c>
      <c r="J237" s="5" t="s">
        <v>35</v>
      </c>
    </row>
    <row r="238" customFormat="false" ht="15" hidden="false" customHeight="false" outlineLevel="0" collapsed="false">
      <c r="A238" s="5" t="s">
        <v>46</v>
      </c>
      <c r="B238" s="5" t="n">
        <v>12</v>
      </c>
      <c r="C238" s="5" t="s">
        <v>34</v>
      </c>
      <c r="D238" s="5" t="s">
        <v>27</v>
      </c>
      <c r="E238" s="6" t="n">
        <v>120000</v>
      </c>
      <c r="F238" s="6" t="n">
        <v>123600</v>
      </c>
      <c r="G238" s="7" t="n">
        <f aca="false">F238-E238</f>
        <v>3600</v>
      </c>
      <c r="H238" s="8" t="n">
        <f aca="false">IFERROR(G238/E238,0)</f>
        <v>0.03</v>
      </c>
      <c r="I238" s="5" t="str">
        <f aca="false">IF(AND(D238="Mantenimiento",G238&gt;50000),"REVISAR - Excede política","OK")</f>
        <v>OK</v>
      </c>
      <c r="J238" s="5" t="s">
        <v>35</v>
      </c>
    </row>
    <row r="239" customFormat="false" ht="15" hidden="false" customHeight="false" outlineLevel="0" collapsed="false">
      <c r="A239" s="5" t="s">
        <v>46</v>
      </c>
      <c r="B239" s="5" t="n">
        <v>12</v>
      </c>
      <c r="C239" s="5" t="s">
        <v>34</v>
      </c>
      <c r="D239" s="5" t="s">
        <v>28</v>
      </c>
      <c r="E239" s="6" t="n">
        <v>18000</v>
      </c>
      <c r="F239" s="6" t="n">
        <v>17100</v>
      </c>
      <c r="G239" s="7" t="n">
        <f aca="false">F239-E239</f>
        <v>-900</v>
      </c>
      <c r="H239" s="8" t="n">
        <f aca="false">IFERROR(G239/E239,0)</f>
        <v>-0.05</v>
      </c>
      <c r="I239" s="5" t="str">
        <f aca="false">IF(AND(D239="Mantenimiento",G239&gt;50000),"REVISAR - Excede política","OK")</f>
        <v>OK</v>
      </c>
      <c r="J239" s="5" t="s">
        <v>35</v>
      </c>
    </row>
    <row r="240" customFormat="false" ht="15" hidden="false" customHeight="false" outlineLevel="0" collapsed="false">
      <c r="A240" s="5" t="s">
        <v>46</v>
      </c>
      <c r="B240" s="5" t="n">
        <v>12</v>
      </c>
      <c r="C240" s="5" t="s">
        <v>34</v>
      </c>
      <c r="D240" s="5" t="s">
        <v>29</v>
      </c>
      <c r="E240" s="6" t="n">
        <v>25000</v>
      </c>
      <c r="F240" s="6" t="n">
        <v>24900</v>
      </c>
      <c r="G240" s="7" t="n">
        <f aca="false">F240-E240</f>
        <v>-100</v>
      </c>
      <c r="H240" s="8" t="n">
        <f aca="false">IFERROR(G240/E240,0)</f>
        <v>-0.004</v>
      </c>
      <c r="I240" s="5" t="str">
        <f aca="false">IF(AND(D240="Mantenimiento",G240&gt;50000),"REVISAR - Excede política","OK")</f>
        <v>OK</v>
      </c>
      <c r="J240" s="5" t="s">
        <v>35</v>
      </c>
    </row>
    <row r="241" customFormat="false" ht="15" hidden="false" customHeight="false" outlineLevel="0" collapsed="false">
      <c r="A241" s="5" t="s">
        <v>46</v>
      </c>
      <c r="B241" s="5" t="n">
        <v>12</v>
      </c>
      <c r="C241" s="5" t="s">
        <v>34</v>
      </c>
      <c r="D241" s="5" t="s">
        <v>30</v>
      </c>
      <c r="E241" s="6" t="n">
        <v>210000</v>
      </c>
      <c r="F241" s="6" t="n">
        <v>222600</v>
      </c>
      <c r="G241" s="7" t="n">
        <f aca="false">F241-E241</f>
        <v>12600</v>
      </c>
      <c r="H241" s="8" t="n">
        <f aca="false">IFERROR(G241/E241,0)</f>
        <v>0.06</v>
      </c>
      <c r="I241" s="5" t="str">
        <f aca="false">IF(AND(D241="Mantenimiento",G241&gt;50000),"REVISAR - Excede política","OK")</f>
        <v>OK</v>
      </c>
      <c r="J241" s="5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2026-08-06T18:38:12Z</dcterms:created>
  <dc:creator>openpyxl</dc:creator>
  <dc:description/>
  <dc:language>en-US</dc:language>
  <cp:lastModifiedBy/>
  <dcterms:modified xsi:type="dcterms:W3CDTF">2026-08-06T18:38:12Z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